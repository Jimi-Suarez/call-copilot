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l" sheetId="1" state="visible" r:id="rId3"/>
    <sheet name="Pitch" sheetId="2" state="visible" r:id="rId4"/>
    <sheet name="Brief" sheetId="3" state="visible" r:id="rId5"/>
    <sheet name="Basics" sheetId="4" state="visible" r:id="rId6"/>
    <sheet name="Objections" sheetId="5" state="visible" r:id="rId7"/>
    <sheet name="Lookup"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<sst xmlns="http://schemas.openxmlformats.org/spreadsheetml/2006/main" count="381" uniqueCount="329">
  <si>
    <t xml:space="preserve">Nutanix role-play: call sheet</t>
  </si>
  <si>
    <t xml:space="preserve">HOW TO USE: ask the question in column C and type her answer, as KEYWORDS (2-3 words, not sentences) in the yellow cell in column D. Blue = typed by you. Grey = automatic. The Pitch tab and the Brief tab fill themselves from what you type here.</t>
  </si>
  <si>
    <t xml:space="preserve">Numbers with no symbols (600000). Dates in her words (mid-April). Don't type sentences: the summary lines write them for you. Targeted questions and the three step-6 needs need a pain type picked in column E (dropdown).</t>
  </si>
  <si>
    <t xml:space="preserve">Step</t>
  </si>
  <si>
    <t xml:space="preserve">Min</t>
  </si>
  <si>
    <t xml:space="preserve">Question (say this)</t>
  </si>
  <si>
    <t xml:space="preserve">HER answer (type here)</t>
  </si>
  <si>
    <t xml:space="preserve">Pain type (dropdown)</t>
  </si>
  <si>
    <t xml:space="preserve">Feeds</t>
  </si>
  <si>
    <t xml:space="preserve">1 AGENDA</t>
  </si>
  <si>
    <t xml:space="preserve">0-2</t>
  </si>
  <si>
    <t xml:space="preserve">"Objective: understand your virtual estate (15-20 min). Last 10 min: decide a next step or part ways. Does that feel fair?"</t>
  </si>
  <si>
    <t xml:space="preserve">2 SITUATION</t>
  </si>
  <si>
    <t xml:space="preserve">2-4</t>
  </si>
  <si>
    <t xml:space="preserve">"Walk me through your estate: what runs on it, how many hosts and VMs, how much storage, how big is the team?"  KEYWORDS: 12 hosts, 400 VMs, 150TB, team 5</t>
  </si>
  <si>
    <t xml:space="preserve">Costing</t>
  </si>
  <si>
    <t xml:space="preserve">2 PAIN</t>
  </si>
  <si>
    <t xml:space="preserve">4-8</t>
  </si>
  <si>
    <t xml:space="preserve">HER PAIN: "What did the reseller say that made you agree to the meeting?"  KEYWORDS: e.g. renewal price jump</t>
  </si>
  <si>
    <t xml:space="preserve">Her pain</t>
  </si>
  <si>
    <t xml:space="preserve">WHAT IT AFFECTS: "You mentioned [her words]. What does that affect over the next 6 to 12 months?"  KEYWORDS: e.g. storage arrays, network upgrade</t>
  </si>
  <si>
    <t xml:space="preserve">What it affects</t>
  </si>
  <si>
    <t xml:space="preserve">WHY THAT'S A PROBLEM: "What's driving [her word] to be a priority?"  (two things? "Which matters most?")  KEYWORDS: e.g. end of support, patient data</t>
  </si>
  <si>
    <t xml:space="preserve">Why it's a problem</t>
  </si>
  <si>
    <t xml:space="preserve">FOCUS CHECK: "Is this the thing to focus on, or will something overpower it?"  (once, no cell)</t>
  </si>
  <si>
    <t xml:space="preserve">3 NUMBER</t>
  </si>
  <si>
    <t xml:space="preserve">8-12</t>
  </si>
  <si>
    <t xml:space="preserve">"You said [her words]. Roughly how much has it gone up by? 10%, 50%, or more?"  Then: "Can you put a monetary value on it?"  Fill the 3 numbers:</t>
  </si>
  <si>
    <t xml:space="preserve">   -&gt; Pays now (per year)</t>
  </si>
  <si>
    <t xml:space="preserve">Numbers</t>
  </si>
  <si>
    <t xml:space="preserve">   -&gt; Quote she has seen (per year)</t>
  </si>
  <si>
    <t xml:space="preserve">   -&gt; What she can absorb without cutting anything (per year)</t>
  </si>
  <si>
    <t xml:space="preserve">   -&gt; Increase % (automatic)</t>
  </si>
  <si>
    <t xml:space="preserve">   -&gt; Gap per year: quote minus what she can absorb (automatic)</t>
  </si>
  <si>
    <t xml:space="preserve">"When is the deadline for this?"  KEYWORDS: board date</t>
  </si>
  <si>
    <t xml:space="preserve">Timeframe</t>
  </si>
  <si>
    <t xml:space="preserve">   -&gt; Renewal date  KEYWORDS: e.g. end of June</t>
  </si>
  <si>
    <t xml:space="preserve">"What happens if nothing changes by then?"  KEYWORDS: sign at new price, project slips</t>
  </si>
  <si>
    <t xml:space="preserve">Doing nothing</t>
  </si>
  <si>
    <t xml:space="preserve">SUMMARY (automatic): read it straight off the sheet, then "Did I get that right?"</t>
  </si>
  <si>
    <t xml:space="preserve">Summary</t>
  </si>
  <si>
    <t xml:space="preserve">4 CAUSE</t>
  </si>
  <si>
    <t xml:space="preserve">12-16</t>
  </si>
  <si>
    <t xml:space="preserve">"Why do you think this is going to hit you so hard?" then "To what extent is [her cause] an issue for YOU?"  KEYWORDS: her cause</t>
  </si>
  <si>
    <t xml:space="preserve">Cause</t>
  </si>
  <si>
    <t xml:space="preserve">"What else is driving this to matter right now?"  Ask once, no recap.  KEYWORDS: her answers (your Y's)</t>
  </si>
  <si>
    <t xml:space="preserve">Y's for the pitch</t>
  </si>
  <si>
    <t xml:space="preserve">SUMMARY (automatic): cause + timing in her words, then "Did I get that right?"</t>
  </si>
  <si>
    <t xml:space="preserve">5 IMPACT</t>
  </si>
  <si>
    <t xml:space="preserve">16-21</t>
  </si>
  <si>
    <t xml:space="preserve">"What ripple effect is this having on other people? Who else feels this, and why is it a concern to them?"  KEYWORDS: who + why</t>
  </si>
  <si>
    <t xml:space="preserve">Buying box</t>
  </si>
  <si>
    <t xml:space="preserve">Impact</t>
  </si>
  <si>
    <t xml:space="preserve">"How does this affect you personally?"  KEYWORDS: her personal stake</t>
  </si>
  <si>
    <t xml:space="preserve">"Who else needs to sign off on this?" then "What would they need to see?"  KEYWORDS: names</t>
  </si>
  <si>
    <t xml:space="preserve">"Where would the money for this come from? Is it set aside, or does it need requesting?"  KEYWORDS: budget pot, owner</t>
  </si>
  <si>
    <t xml:space="preserve">6 OUTCOME</t>
  </si>
  <si>
    <t xml:space="preserve">21-23</t>
  </si>
  <si>
    <t xml:space="preserve">"What do you need to happen before [her date]?"  Use HER date and HER word. One need per row, then pick a pain type in column E.</t>
  </si>
  <si>
    <t xml:space="preserve">   -&gt; Need 1</t>
  </si>
  <si>
    <t xml:space="preserve">Pitch</t>
  </si>
  <si>
    <t xml:space="preserve">   -&gt; Need 2</t>
  </si>
  <si>
    <t xml:space="preserve">   -&gt; Need 3</t>
  </si>
  <si>
    <t xml:space="preserve">"Which of those matters most to you?"  Pick 1, 2 or 3.</t>
  </si>
  <si>
    <t xml:space="preserve">Pitch order</t>
  </si>
  <si>
    <t xml:space="preserve">"Why does that matter to you personally?"  KEYWORDS: her reason</t>
  </si>
  <si>
    <t xml:space="preserve">SUMMARY of her needs only (automatic): say it, then "Did I get that right?"</t>
  </si>
  <si>
    <t xml:space="preserve">9 CLOSE</t>
  </si>
  <si>
    <t xml:space="preserve">27-30</t>
  </si>
  <si>
    <t xml:space="preserve">"We said we'd decide if a next step makes sense. Does it? What do you need from us beforehand? Who else should be in the room?"  KEYWORDS: who</t>
  </si>
  <si>
    <t xml:space="preserve">Next step</t>
  </si>
  <si>
    <t xml:space="preserve">   -&gt; Date and time agreed for the working session</t>
  </si>
  <si>
    <t xml:space="preserve">SCRATCH: anything else she says (no cell feeds from this)</t>
  </si>
  <si>
    <t xml:space="preserve">Notes</t>
  </si>
  <si>
    <t xml:space="preserve">Pitch builder (fills itself from the Call tab)</t>
  </si>
  <si>
    <t xml:space="preserve">Nothing to type here. After step 6 say "Can I try a few ideas on you?" and read down column F: opener, then three lines. Formula: We do X. You told me Y. So here's how that fits.  Her top need goes first.</t>
  </si>
  <si>
    <t xml:space="preserve">#</t>
  </si>
  <si>
    <t xml:space="preserve">Need # (her order)</t>
  </si>
  <si>
    <t xml:space="preserve">Her words (Y)</t>
  </si>
  <si>
    <t xml:space="preserve">Pain type</t>
  </si>
  <si>
    <t xml:space="preserve">We do (X)</t>
  </si>
  <si>
    <t xml:space="preserve">SAY THIS</t>
  </si>
  <si>
    <t xml:space="preserve">If she asks 'how?' (fact + source)</t>
  </si>
  <si>
    <t xml:space="preserve">1</t>
  </si>
  <si>
    <t xml:space="preserve">Ask permission</t>
  </si>
  <si>
    <t xml:space="preserve">"Can I try a few ideas on you?"</t>
  </si>
  <si>
    <t xml:space="preserve">2</t>
  </si>
  <si>
    <t xml:space="preserve">Opener (one sentence)</t>
  </si>
  <si>
    <t xml:space="preserve">"A lot of VMware customers are looking at alternatives since Broadcom changed the licensing. Nutanix puts your servers, storage and networking into one system, so you manage it from one place."</t>
  </si>
  <si>
    <t xml:space="preserve">3</t>
  </si>
  <si>
    <t xml:space="preserve">4</t>
  </si>
  <si>
    <t xml:space="preserve">5</t>
  </si>
  <si>
    <t xml:space="preserve">6</t>
  </si>
  <si>
    <t xml:space="preserve">Check it</t>
  </si>
  <si>
    <t xml:space="preserve">"How does that sit against what you need?"  Then stop talking. If she asks "what would the first step be?", go straight to the close below.</t>
  </si>
  <si>
    <t xml:space="preserve">CLOSE (step 9, 27-30 min): read this after the objections</t>
  </si>
  <si>
    <t xml:space="preserve">Decision</t>
  </si>
  <si>
    <t xml:space="preserve">"We said we'd decide if a next step makes sense. Does it?"</t>
  </si>
  <si>
    <t xml:space="preserve">Before the session</t>
  </si>
  <si>
    <t xml:space="preserve">"What do you need from us beforehand?"</t>
  </si>
  <si>
    <t xml:space="preserve">Book it (automatic)</t>
  </si>
  <si>
    <t xml:space="preserve">Lock it in</t>
  </si>
  <si>
    <t xml:space="preserve">"I'll send dates and a one-page recap today."</t>
  </si>
  <si>
    <t xml:space="preserve">Her numbers and notes (automatic)</t>
  </si>
  <si>
    <t xml:space="preserve">Pays now</t>
  </si>
  <si>
    <t xml:space="preserve">Quote</t>
  </si>
  <si>
    <t xml:space="preserve">Increase</t>
  </si>
  <si>
    <t xml:space="preserve">She can absorb</t>
  </si>
  <si>
    <t xml:space="preserve">Gap per year</t>
  </si>
  <si>
    <t xml:space="preserve">Board / decision date</t>
  </si>
  <si>
    <t xml:space="preserve">Renewal date</t>
  </si>
  <si>
    <t xml:space="preserve">Estate (hosts, VMs, storage)</t>
  </si>
  <si>
    <t xml:space="preserve">Her top need</t>
  </si>
  <si>
    <t xml:space="preserve">Personal stake</t>
  </si>
  <si>
    <t xml:space="preserve">Signs off</t>
  </si>
  <si>
    <t xml:space="preserve">Slips to avoid: ARR means annual recurring revenue, not 'average'. Never 'zero downtime'. Never 'cheaper, safer, faster' without proof. Never put words in her mouth. Never run down VMware.</t>
  </si>
  <si>
    <t xml:space="preserve">Interview brief: did you do everything they ask?</t>
  </si>
  <si>
    <t xml:space="preserve">From the Nutanix assessment briefing: 4 things you must do in the 30 minutes, 7 things they score you on (1-5 each, 35 total), and 3 guidelines. 'Auto' ticks itself from the Call tab. 'Your check' is for you after the run.</t>
  </si>
  <si>
    <t xml:space="preserve">A. What they ask you to do</t>
  </si>
  <si>
    <t xml:space="preserve">They ask for</t>
  </si>
  <si>
    <t xml:space="preserve">Where the sheet covers it</t>
  </si>
  <si>
    <t xml:space="preserve">Auto check</t>
  </si>
  <si>
    <t xml:space="preserve">Your check</t>
  </si>
  <si>
    <t xml:space="preserve">Notes after the run</t>
  </si>
  <si>
    <t xml:space="preserve">1a</t>
  </si>
  <si>
    <t xml:space="preserve">Uncover the customer's current situation</t>
  </si>
  <si>
    <t xml:space="preserve">Step 2 situation: hosts, VMs, storage, team</t>
  </si>
  <si>
    <t xml:space="preserve">1b</t>
  </si>
  <si>
    <t xml:space="preserve">Uncover pain points / challenges</t>
  </si>
  <si>
    <t xml:space="preserve">Steps 2 and 4: pain, what it affects, why it is a problem, cause</t>
  </si>
  <si>
    <t xml:space="preserve">1c</t>
  </si>
  <si>
    <t xml:space="preserve">Uncover needs</t>
  </si>
  <si>
    <t xml:space="preserve">Step 6: three needs and which matters most</t>
  </si>
  <si>
    <t xml:space="preserve">1d</t>
  </si>
  <si>
    <t xml:space="preserve">Uncover implications of doing nothing</t>
  </si>
  <si>
    <t xml:space="preserve">Step 3: 'what if nothing changes', step 5 impact</t>
  </si>
  <si>
    <t xml:space="preserve">1e</t>
  </si>
  <si>
    <t xml:space="preserve">Uncover the timeframe</t>
  </si>
  <si>
    <t xml:space="preserve">Step 3: board and renewal dates</t>
  </si>
  <si>
    <t xml:space="preserve">Introduce Nutanix: high-level business outcomes, keep her attention</t>
  </si>
  <si>
    <t xml:space="preserve">Pitch tab lines 2 to 5 (outcomes are HER needs)</t>
  </si>
  <si>
    <t xml:space="preserve">(manual)</t>
  </si>
  <si>
    <t xml:space="preserve">Overcome objections elegantly</t>
  </si>
  <si>
    <t xml:space="preserve">Objections tab. Mark yourself after the run.</t>
  </si>
  <si>
    <t xml:space="preserve">Agree a specific next step</t>
  </si>
  <si>
    <t xml:space="preserve">Step 9 and the Close block on the Pitch tab</t>
  </si>
  <si>
    <t xml:space="preserve">B. What they score you on (the assessment grid)</t>
  </si>
  <si>
    <t xml:space="preserve">Criterion</t>
  </si>
  <si>
    <t xml:space="preserve">What to do</t>
  </si>
  <si>
    <t xml:space="preserve">Your score 1-5</t>
  </si>
  <si>
    <t xml:space="preserve">Why / what to fix</t>
  </si>
  <si>
    <t xml:space="preserve">Understanding of the customer</t>
  </si>
  <si>
    <t xml:space="preserve">Her words, her numbers, her dates, her personal stake. Never put words in her mouth.</t>
  </si>
  <si>
    <t xml:space="preserve">Level of preparation</t>
  </si>
  <si>
    <t xml:space="preserve">Estate questions ready, targeted questions picked from Lookup, close planned, Nutanix terms known (Basics tab).</t>
  </si>
  <si>
    <t xml:space="preserve">Presentation skills and communication</t>
  </si>
  <si>
    <t xml:space="preserve">Say the pitch, don't read it. Plain English. No filler 'okay'.</t>
  </si>
  <si>
    <t xml:space="preserve">Understanding of Nutanix at base level</t>
  </si>
  <si>
    <t xml:space="preserve">Say the Basics tab answers in your own words, with no jargon.</t>
  </si>
  <si>
    <t xml:space="preserve">Ability to deal with objections</t>
  </si>
  <si>
    <t xml:space="preserve">Agree, don't over-promise, ask what she needs. Every objection answered.</t>
  </si>
  <si>
    <t xml:space="preserve">Control over the meeting and time management</t>
  </si>
  <si>
    <t xml:space="preserve">Agenda in the first 2 minutes. Pitch by 23:00, close by 27:00.</t>
  </si>
  <si>
    <t xml:space="preserve">7</t>
  </si>
  <si>
    <t xml:space="preserve">Clear next action</t>
  </si>
  <si>
    <t xml:space="preserve">Date, people, purpose, recap sent today.</t>
  </si>
  <si>
    <t xml:space="preserve">Total</t>
  </si>
  <si>
    <t xml:space="preserve">C. Time check (type the minute you reached each point)</t>
  </si>
  <si>
    <t xml:space="preserve">Point</t>
  </si>
  <si>
    <t xml:space="preserve">Target</t>
  </si>
  <si>
    <t xml:space="preserve">Minute reached</t>
  </si>
  <si>
    <t xml:space="preserve">Status</t>
  </si>
  <si>
    <t xml:space="preserve">Pitch started (after step 6)</t>
  </si>
  <si>
    <t xml:space="preserve">by 23:00</t>
  </si>
  <si>
    <t xml:space="preserve">Close started (after objections)</t>
  </si>
  <si>
    <t xml:space="preserve">by 27:00</t>
  </si>
  <si>
    <t xml:space="preserve">Call ended</t>
  </si>
  <si>
    <t xml:space="preserve">by 30:00</t>
  </si>
  <si>
    <t xml:space="preserve">D. Their three guidelines</t>
  </si>
  <si>
    <t xml:space="preserve">Qualify before presenting. Understanding the prospect is key, so spend some time on discovery first.</t>
  </si>
  <si>
    <t xml:space="preserve">Keep the Nutanix introduction simple and outcome-focused, not technical.</t>
  </si>
  <si>
    <t xml:space="preserve">Prepare for a Q&amp;A afterwards (Basics and Objections tabs).</t>
  </si>
  <si>
    <t xml:space="preserve">Nutanix basics: say these plainly if she asks</t>
  </si>
  <si>
    <t xml:space="preserve">They test 'understanding of Nutanix at base level'. Say each answer in your own words, short. If you don't know something: "I don't know that one. I'd want our engineer to answer it. What would you need to see?" Never guess.</t>
  </si>
  <si>
    <t xml:space="preserve">She asks</t>
  </si>
  <si>
    <t xml:space="preserve">Say it plainly</t>
  </si>
  <si>
    <t xml:space="preserve">Where it comes from</t>
  </si>
  <si>
    <t xml:space="preserve">What is Nutanix?</t>
  </si>
  <si>
    <t xml:space="preserve">It puts your servers, your storage and your networking into one system, so you manage it all from one place instead of three separate things.</t>
  </si>
  <si>
    <t xml:space="preserve">Your tick sheet</t>
  </si>
  <si>
    <t xml:space="preserve">What does hyperconverged mean?</t>
  </si>
  <si>
    <t xml:space="preserve">Servers, storage and networking handled in software on standard hardware, managed in one place.</t>
  </si>
  <si>
    <t xml:space="preserve">What is AHV?</t>
  </si>
  <si>
    <t xml:space="preserve">The hypervisor that runs the virtual machines. Nutanix says it is included in the licence at no additional cost.</t>
  </si>
  <si>
    <t xml:space="preserve">Nutanix infographic (vendor claim): https://www.nutanix.com/library/infographics/safeguard-against-risks-arising-from-the-vmware-acquisition</t>
  </si>
  <si>
    <t xml:space="preserve">What is Prism?</t>
  </si>
  <si>
    <t xml:space="preserve">The management console. One hospital group said it manages production and disaster recovery centrally through it, including upgrades and troubleshooting.</t>
  </si>
  <si>
    <t xml:space="preserve">Nutanix press release, 2020 (vendor claim, one customer): https://www.nutanix.com/press-releases/2020/gruppo-policlinico-di-monza-healthcare-system-chooses-nutanix-to-improve-security-reliability-and-dr</t>
  </si>
  <si>
    <t xml:space="preserve">How would we move our VMs?</t>
  </si>
  <si>
    <t xml:space="preserve">A tool called Nutanix Move. It copies the data across ahead of time, can test the VMs in an isolated network first, and has rollback options that keep the original VM. It doesn't give a downtime figure, so never promise zero.</t>
  </si>
  <si>
    <t xml:space="preserve">Nutanix blog (vendor claim): https://www.nutanix.com/blog/supercharge-your-vm-migrations-to-nutanix-ahv</t>
  </si>
  <si>
    <t xml:space="preserve">Do we have to throw out our current storage?</t>
  </si>
  <si>
    <t xml:space="preserve">Nutanix says it can run alongside an existing SAN, or replace it. Which fits depends on your estate, so that's part of the comparison.</t>
  </si>
  <si>
    <t xml:space="preserve">Can we use our existing VMware licences?</t>
  </si>
  <si>
    <t xml:space="preserve">Nutanix says existing vSphere licences can be applied to its platform. I'd want to check your exact licences in the comparison.</t>
  </si>
  <si>
    <t xml:space="preserve">Why are customers looking at Nutanix?</t>
  </si>
  <si>
    <t xml:space="preserve">Broadcom bought VMware, not merged, causing price hikes and licensing changes that are pushing customers to look elsewhere, including Nutanix.</t>
  </si>
  <si>
    <t xml:space="preserve">Are you big enough / stable?</t>
  </si>
  <si>
    <t xml:space="preserve">About $2.55B annual recurring revenue (ARR), up 16%, with 3,000+ new customers, and the CEO expects lots of VMware migration over the next five years. Only if she asks; don't push it.</t>
  </si>
  <si>
    <t xml:space="preserve">Objections: agree, don't over-promise, ask what she needs</t>
  </si>
  <si>
    <t xml:space="preserve">Never run down VMware. You never defend Nutanix: you ask her what good looks like, then build that.</t>
  </si>
  <si>
    <t xml:space="preserve">She says</t>
  </si>
  <si>
    <t xml:space="preserve">She's worried</t>
  </si>
  <si>
    <t xml:space="preserve">Say this</t>
  </si>
  <si>
    <t xml:space="preserve">Why it works</t>
  </si>
  <si>
    <t xml:space="preserve">"Can you guarantee no downtime?"</t>
  </si>
  <si>
    <t xml:space="preserve">Patient systems going down.</t>
  </si>
  <si>
    <t xml:space="preserve">"That's the right thing to worry about. I can't promise zero downtime, and nobody honest can. What would you need to see in a plan to feel safe?"</t>
  </si>
  <si>
    <t xml:space="preserve">Admitting the limit earns trust. Her answer is the safety plan.</t>
  </si>
  <si>
    <t xml:space="preserve">"My team would need retraining."</t>
  </si>
  <si>
    <t xml:space="preserve">A stretched team can't cope.</t>
  </si>
  <si>
    <t xml:space="preserve">"That's a real cost, so we put it in the comparison. What would help most: training time, or someone supporting you during the move?"</t>
  </si>
  <si>
    <t xml:space="preserve">You treat the cost as real and give her a choice.</t>
  </si>
  <si>
    <t xml:space="preserve">"Is it cheaper? The reseller said so."</t>
  </si>
  <si>
    <t xml:space="preserve">She's wasting her time.</t>
  </si>
  <si>
    <t xml:space="preserve">"I can't promise that, because I haven't seen your setup yet. What would you need to see to know if it's worth it?"  Then: "You said [her ceiling] is what you can absorb. Is that still true?"</t>
  </si>
  <si>
    <t xml:space="preserve">You refuse to promise what you can't prove. It leads to the costed comparison.</t>
  </si>
  <si>
    <t xml:space="preserve">"What about compliance? This is patient data."</t>
  </si>
  <si>
    <t xml:space="preserve">Breaking rules.</t>
  </si>
  <si>
    <t xml:space="preserve">"That's a big one, and I'd want an expert to answer it properly, not me. Who looks after that on your side?"</t>
  </si>
  <si>
    <t xml:space="preserve">Honest, and you get the compliance lead's name for the buying box.</t>
  </si>
  <si>
    <t xml:space="preserve">"Can you prove it will work for us?"</t>
  </si>
  <si>
    <t xml:space="preserve">She doesn't trust a claim.</t>
  </si>
  <si>
    <t xml:space="preserve">"I can't prove that today. That's exactly what the comparison is for."</t>
  </si>
  <si>
    <t xml:space="preserve">Turns 'no' into the reason for the next meeting.</t>
  </si>
  <si>
    <t xml:space="preserve">Lookup: her pain -&gt; what we DO, plus the targeted questions</t>
  </si>
  <si>
    <t xml:space="preserve">Pick a pain type on the Call tab and the 'We do' line (Pitch tab) and the targeted questions (Call tab) appear. Column C always starts with a verb because the pitch reads 'We [column C].' It describes what WE do, never a promise about the product.</t>
  </si>
  <si>
    <t xml:space="preserve">Supporting facts are vendor claims from the pages in column F. Say them only if she asks, and name the source. You can add your own rows under the last one (the dropdowns read down to row 25).</t>
  </si>
  <si>
    <t xml:space="preserve">Pain type (dropdown key)</t>
  </si>
  <si>
    <t xml:space="preserve">What she might say</t>
  </si>
  <si>
    <t xml:space="preserve">We do (X): starts with a verb</t>
  </si>
  <si>
    <t xml:space="preserve">Supporting fact (only if she asks)</t>
  </si>
  <si>
    <t xml:space="preserve">Source status</t>
  </si>
  <si>
    <t xml:space="preserve">Source URL</t>
  </si>
  <si>
    <t xml:space="preserve">Caution</t>
  </si>
  <si>
    <t xml:space="preserve">Targeted root-cause question (step 4)</t>
  </si>
  <si>
    <t xml:space="preserve">Targeted impact question (step 5)</t>
  </si>
  <si>
    <t xml:space="preserve">No tested fallback</t>
  </si>
  <si>
    <t xml:space="preserve">"I can't say to VMware we've tested another option."</t>
  </si>
  <si>
    <t xml:space="preserve">build a tested way back before anything moves</t>
  </si>
  <si>
    <t xml:space="preserve">Nutanix Move can create test VMs on the target site in an isolated network, and built-in rollback options keep the source VM (disconnected and annotated). Vendor blog.</t>
  </si>
  <si>
    <t xml:space="preserve">Nutanix page</t>
  </si>
  <si>
    <t xml:space="preserve">https://www.nutanix.com/blog/supercharge-your-vm-migrations-to-nutanix-ahv</t>
  </si>
  <si>
    <t xml:space="preserve">Say what we BUILD together. Don't say Nutanix removes all risk.</t>
  </si>
  <si>
    <t xml:space="preserve">To what extent is having no tested alternative weakening your position with VMware?</t>
  </si>
  <si>
    <t xml:space="preserve">Is the board asking what your plan B is, and is that a concern right now?</t>
  </si>
  <si>
    <t xml:space="preserve">Migration risk / downtime</t>
  </si>
  <si>
    <t xml:space="preserve">"If it goes wrong mid-migration, patient systems go down."</t>
  </si>
  <si>
    <t xml:space="preserve">start with non-critical workloads, test first, and agree the cutover windows with your clinical teams</t>
  </si>
  <si>
    <t xml:space="preserve">Move pre-seeds data and does delta syncs so cutovers cause minimal disruption. The page gives no downtime figures.</t>
  </si>
  <si>
    <t xml:space="preserve">NEVER promise zero downtime. 'I can't promise zero downtime, what would you need in a plan?'</t>
  </si>
  <si>
    <t xml:space="preserve">To what extent is the risk of an outage during a move what is holding you back?</t>
  </si>
  <si>
    <t xml:space="preserve">If a migration went wrong, who would feel it first, and how?</t>
  </si>
  <si>
    <t xml:space="preserve">CFO needs numbers</t>
  </si>
  <si>
    <t xml:space="preserve">"The CFO has to defend a number to the board."</t>
  </si>
  <si>
    <t xml:space="preserve">cost it side by side with your VMware quote, using your real estate numbers</t>
  </si>
  <si>
    <t xml:space="preserve">Nutanix says the AHV hypervisor is included in its licences at no additional cost, and existing vSphere licences can be applied to the platform. Vendor claim.</t>
  </si>
  <si>
    <t xml:space="preserve">https://www.nutanix.com/library/infographics/safeguard-against-risks-arising-from-the-vmware-acquisition</t>
  </si>
  <si>
    <t xml:space="preserve">Do NOT say it will be cheaper. Say: 'I haven't seen your estate, that's what the comparison is for.'</t>
  </si>
  <si>
    <t xml:space="preserve">To what extent is a lack of real numbers on the alternatives a problem when you talk to finance?</t>
  </si>
  <si>
    <t xml:space="preserve">How is finance reacting to the jump, and is that a concern right now?</t>
  </si>
  <si>
    <t xml:space="preserve">Renewal cost shock</t>
  </si>
  <si>
    <t xml:space="preserve">"The quote is more than double what we pay now."</t>
  </si>
  <si>
    <t xml:space="preserve">put a costed comparison next to your renewal quote before the board meets</t>
  </si>
  <si>
    <t xml:space="preserve">Same licensing points as above (AHV included, vSphere licence mobility). Vendor claim.</t>
  </si>
  <si>
    <t xml:space="preserve">Never promise a saving. Compare, don't claim.</t>
  </si>
  <si>
    <t xml:space="preserve">To what extent is the licensing change driving the increase, compared with what you actually use?</t>
  </si>
  <si>
    <t xml:space="preserve">What gets cut or delayed if the quote stands, and is that a concern right now?</t>
  </si>
  <si>
    <t xml:space="preserve">Small team capacity</t>
  </si>
  <si>
    <t xml:space="preserve">"My team is stretched and only knows VMware."</t>
  </si>
  <si>
    <t xml:space="preserve">put our engineer and the reseller alongside your team, with training time agreed up front</t>
  </si>
  <si>
    <t xml:space="preserve">Nutanix lists migration tools, training, professional services and a migration blueprint. Vendor claim.</t>
  </si>
  <si>
    <t xml:space="preserve">Ask: 'Training time, or support during the move?' Don't promise a learning-curve length.</t>
  </si>
  <si>
    <t xml:space="preserve">To what extent is your team's time, or only knowing one platform, an issue?</t>
  </si>
  <si>
    <t xml:space="preserve">What does it cost the hospital when the team is tied up with this?</t>
  </si>
  <si>
    <t xml:space="preserve">Storage end of support</t>
  </si>
  <si>
    <t xml:space="preserve">"The arrays go out of support at the end of next year."</t>
  </si>
  <si>
    <t xml:space="preserve">keep the storage replacement in the same plan, so it's sorted before the arrays go out of support</t>
  </si>
  <si>
    <t xml:space="preserve">Nutanix positions hyperconverged infrastructure as a SAN replacement, and says it can also run alongside an existing SAN for current workloads. Vendor claim.</t>
  </si>
  <si>
    <t xml:space="preserve">The date comes from HER. Don't say it fixes the storage on its own, say it goes in the plan.</t>
  </si>
  <si>
    <t xml:space="preserve">To what extent is the end-of-support date on the arrays forcing the timing?</t>
  </si>
  <si>
    <t xml:space="preserve">What happens to patient-facing systems if the arrays fail before they're replaced?</t>
  </si>
  <si>
    <t xml:space="preserve">Servers and storage as two worlds</t>
  </si>
  <si>
    <t xml:space="preserve">"Vendors blame each other and my people are stuck in the middle."</t>
  </si>
  <si>
    <t xml:space="preserve">bring servers, storage and networking into one system you manage from one place</t>
  </si>
  <si>
    <t xml:space="preserve">A healthcare customer (Gruppo Policlinico di Monza, 2020) said production and DR are managed centrally through Prism. Vendor press release, single customer.</t>
  </si>
  <si>
    <t xml:space="preserve">https://www.nutanix.com/press-releases/2020/gruppo-policlinico-di-monza-healthcare-system-chooses-nutanix-to-improve-security-reliability-and-dr</t>
  </si>
  <si>
    <t xml:space="preserve">One customer, 2020, vendor-published. Use as 'one hospital group did X', never as a general promise.</t>
  </si>
  <si>
    <t xml:space="preserve">To what extent does managing servers and storage separately slow you down when something breaks?</t>
  </si>
  <si>
    <t xml:space="preserve">How much team time goes on vendors pointing at each other, and is that a concern right now?</t>
  </si>
  <si>
    <t xml:space="preserve">Clinical uptime / patient safety</t>
  </si>
  <si>
    <t xml:space="preserve">"Patient systems are the one thing I can't be wrong about."</t>
  </si>
  <si>
    <t xml:space="preserve">agree migration windows with your clinical teams and name an engineer who is on call during the cutover</t>
  </si>
  <si>
    <t xml:space="preserve">The same customer reported RPO and RTO down 80% on average and storage snapshots at minute intervals. Vendor claim, one customer.</t>
  </si>
  <si>
    <t xml:space="preserve">Don't quote the 80% as a promise. Only if she asks for evidence, and name the source.</t>
  </si>
  <si>
    <t xml:space="preserve">To what extent does clinical uptime limit how and when you can change anything?</t>
  </si>
  <si>
    <t xml:space="preserve">Who in the clinical teams feels it first when systems are unstable?</t>
  </si>
  <si>
    <t xml:space="preserve">Board wants less single-vendor risk</t>
  </si>
  <si>
    <t xml:space="preserve">"The board wants us less dependent on one vendor."</t>
  </si>
  <si>
    <t xml:space="preserve">give you a tested alternative on the table before the board meets, so you're not tied to one quote</t>
  </si>
  <si>
    <t xml:space="preserve">Nutanix Move migrates VMware workloads to AHV on-premises, to edge, and to public cloud. Vendor blog.</t>
  </si>
  <si>
    <t xml:space="preserve">Never run down VMware. She chose it and it has worked for ten years.</t>
  </si>
  <si>
    <t xml:space="preserve">To what extent is the board's push on single-vendor risk shaping the decision?</t>
  </si>
  <si>
    <t xml:space="preserve">How would it look at the board if you signed the renewal with no alternative?</t>
  </si>
  <si>
    <t xml:space="preserve">Compliance / patient data</t>
  </si>
  <si>
    <t xml:space="preserve">"Anything touching patient systems needs the compliance lead's sign-off."</t>
  </si>
  <si>
    <t xml:space="preserve">bring in a compliance expert to answer in writing, and agree who covers it on your side</t>
  </si>
  <si>
    <t xml:space="preserve">The Monza release names GDPR requirements and security as goals but states no specific security outcome.</t>
  </si>
  <si>
    <t xml:space="preserve">Don't claim compliance. 'I'd want an expert to answer that. Who covers it on your side?'</t>
  </si>
  <si>
    <t xml:space="preserve">To what extent does compliance sign-off slow or shape any change to patient systems?</t>
  </si>
  <si>
    <t xml:space="preserve">Who covers compliance on your side, and what would they need to see?</t>
  </si>
  <si>
    <t xml:space="preserve">Paying for a suite we don't use</t>
  </si>
  <si>
    <t xml:space="preserve">"We're paying for a lot we don't use."</t>
  </si>
  <si>
    <t xml:space="preserve">map what you actually use against what you're being quoted for</t>
  </si>
  <si>
    <t xml:space="preserve">No public Nutanix source. This is a discovery step you run with her.</t>
  </si>
  <si>
    <t xml:space="preserve">Role-play / your own plan, not a Nutanix claim</t>
  </si>
  <si>
    <t xml:space="preserve">Don't claim savings. It's a question, not a promise.</t>
  </si>
  <si>
    <t xml:space="preserve">To what extent are you paying for parts of the licence you don't use?</t>
  </si>
  <si>
    <t xml:space="preserve">What would that money otherwise go to?</t>
  </si>
</sst>
</file>

<file path=xl/styles.xml><?xml version="1.0" encoding="utf-8"?>
<styleSheet xmlns="http://schemas.openxmlformats.org/spreadsheetml/2006/main">
  <numFmts count="3">
    <numFmt numFmtId="164" formatCode="General"/>
    <numFmt numFmtId="165" formatCode="#,##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B7270"/>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u val="single"/>
      <sz val="9"/>
      <color rgb="FF0563C1"/>
      <name val="Arial"/>
      <family val="0"/>
      <charset val="1"/>
    </font>
  </fonts>
  <fills count="6">
    <fill>
      <patternFill patternType="none"/>
    </fill>
    <fill>
      <patternFill patternType="gray125"/>
    </fill>
    <fill>
      <patternFill patternType="solid">
        <fgColor rgb="FF2F8F83"/>
        <bgColor rgb="FF008080"/>
      </patternFill>
    </fill>
    <fill>
      <patternFill patternType="solid">
        <fgColor rgb="FFEEF7F5"/>
        <bgColor rgb="FFFFFFFF"/>
      </patternFill>
    </fill>
    <fill>
      <patternFill patternType="solid">
        <fgColor rgb="FFFFFF99"/>
        <bgColor rgb="FFEEF7F5"/>
      </patternFill>
    </fill>
    <fill>
      <patternFill patternType="solid">
        <fgColor rgb="FFE8E8E8"/>
        <bgColor rgb="FFEEF7F5"/>
      </patternFill>
    </fill>
  </fills>
  <borders count="2">
    <border diagonalUp="false" diagonalDown="false">
      <left/>
      <right/>
      <top/>
      <bottom/>
      <diagonal/>
    </border>
    <border diagonalUp="false" diagonalDown="false">
      <left style="thin">
        <color rgb="FFC9DCD9"/>
      </left>
      <right style="thin">
        <color rgb="FFC9DCD9"/>
      </right>
      <top style="thin">
        <color rgb="FFC9DCD9"/>
      </top>
      <bottom style="thin">
        <color rgb="FFC9DC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left" vertical="top" textRotation="0" wrapText="true" indent="0" shrinkToFit="false"/>
      <protection locked="true" hidden="false"/>
    </xf>
    <xf numFmtId="166" fontId="8" fillId="5" borderId="1" xfId="0" applyFont="true" applyBorder="true" applyAlignment="true" applyProtection="false">
      <alignment horizontal="left" vertical="top" textRotation="0" wrapText="true" indent="0" shrinkToFit="false"/>
      <protection locked="true" hidden="false"/>
    </xf>
    <xf numFmtId="165" fontId="8"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7F5"/>
      <rgbColor rgb="FFE8E8E8"/>
      <rgbColor rgb="FF660066"/>
      <rgbColor rgb="FFFF8080"/>
      <rgbColor rgb="FF0563C1"/>
      <rgbColor rgb="FFC9DC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7270"/>
      <rgbColor rgb="FF969696"/>
      <rgbColor rgb="FF003366"/>
      <rgbColor rgb="FF2F8F8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hyperlink" Target="https://www.nutanix.com/blog/supercharge-your-vm-migrations-to-nutanix-ahv" TargetMode="External"/><Relationship Id="rId2" Type="http://schemas.openxmlformats.org/officeDocument/2006/relationships/hyperlink" Target="https://www.nutanix.com/blog/supercharge-your-vm-migrations-to-nutanix-ahv" TargetMode="External"/><Relationship Id="rId3" Type="http://schemas.openxmlformats.org/officeDocument/2006/relationships/hyperlink" Target="https://www.nutanix.com/library/infographics/safeguard-against-risks-arising-from-the-vmware-acquisition" TargetMode="External"/><Relationship Id="rId4" Type="http://schemas.openxmlformats.org/officeDocument/2006/relationships/hyperlink" Target="https://www.nutanix.com/library/infographics/safeguard-against-risks-arising-from-the-vmware-acquisition" TargetMode="External"/><Relationship Id="rId5" Type="http://schemas.openxmlformats.org/officeDocument/2006/relationships/hyperlink" Target="https://www.nutanix.com/library/infographics/safeguard-against-risks-arising-from-the-vmware-acquisition" TargetMode="External"/><Relationship Id="rId6" Type="http://schemas.openxmlformats.org/officeDocument/2006/relationships/hyperlink" Target="https://www.nutanix.com/library/infographics/safeguard-against-risks-arising-from-the-vmware-acquisition" TargetMode="External"/><Relationship Id="rId7" Type="http://schemas.openxmlformats.org/officeDocument/2006/relationships/hyperlink" Target="https://www.nutanix.com/press-releases/2020/gruppo-policlinico-di-monza-healthcare-system-chooses-nutanix-to-improve-security-reliability-and-dr" TargetMode="External"/><Relationship Id="rId8" Type="http://schemas.openxmlformats.org/officeDocument/2006/relationships/hyperlink" Target="https://www.nutanix.com/press-releases/2020/gruppo-policlinico-di-monza-healthcare-system-chooses-nutanix-to-improve-security-reliability-and-dr" TargetMode="External"/><Relationship Id="rId9" Type="http://schemas.openxmlformats.org/officeDocument/2006/relationships/hyperlink" Target="https://www.nutanix.com/blog/supercharge-your-vm-migrations-to-nutanix-ahv" TargetMode="External"/><Relationship Id="rId10" Type="http://schemas.openxmlformats.org/officeDocument/2006/relationships/hyperlink" Target="https://www.nutanix.com/press-releases/2020/gruppo-policlinico-di-monza-healthcare-system-chooses-nutanix-to-improve-security-reliability-and-d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
    <col collapsed="false" customWidth="true" hidden="false" outlineLevel="0" max="3" min="3" style="0" width="62"/>
    <col collapsed="false" customWidth="true" hidden="false" outlineLevel="0" max="4" min="4" style="0" width="56"/>
    <col collapsed="false" customWidth="true" hidden="false" outlineLevel="0" max="5" min="5" style="0" width="26"/>
    <col collapsed="false" customWidth="true" hidden="false" outlineLevel="0" max="6" min="6" style="0" width="2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row>
    <row r="3" customFormat="false" ht="27.75" hidden="false" customHeight="true" outlineLevel="0" collapsed="false">
      <c r="A3" s="2" t="s">
        <v>2</v>
      </c>
      <c r="B3" s="2"/>
      <c r="C3" s="2"/>
      <c r="D3" s="2"/>
      <c r="E3" s="2"/>
      <c r="F3" s="2"/>
    </row>
    <row r="5" customFormat="false" ht="15" hidden="false" customHeight="false" outlineLevel="0" collapsed="false">
      <c r="A5" s="3" t="s">
        <v>3</v>
      </c>
      <c r="B5" s="3" t="s">
        <v>4</v>
      </c>
      <c r="C5" s="3" t="s">
        <v>5</v>
      </c>
      <c r="D5" s="3" t="s">
        <v>6</v>
      </c>
      <c r="E5" s="3" t="s">
        <v>7</v>
      </c>
      <c r="F5" s="3" t="s">
        <v>8</v>
      </c>
    </row>
    <row r="6" customFormat="false" ht="30" hidden="false" customHeight="true" outlineLevel="0" collapsed="false">
      <c r="A6" s="4" t="s">
        <v>9</v>
      </c>
      <c r="B6" s="5" t="s">
        <v>10</v>
      </c>
      <c r="C6" s="6" t="s">
        <v>11</v>
      </c>
      <c r="D6" s="7"/>
      <c r="E6" s="7"/>
      <c r="F6" s="8"/>
    </row>
    <row r="7" customFormat="false" ht="43.5" hidden="false" customHeight="true" outlineLevel="0" collapsed="false">
      <c r="A7" s="4" t="s">
        <v>12</v>
      </c>
      <c r="B7" s="5" t="s">
        <v>13</v>
      </c>
      <c r="C7" s="9" t="s">
        <v>14</v>
      </c>
      <c r="D7" s="10"/>
      <c r="E7" s="7"/>
      <c r="F7" s="8" t="s">
        <v>15</v>
      </c>
    </row>
    <row r="8" customFormat="false" ht="31.5" hidden="false" customHeight="true" outlineLevel="0" collapsed="false">
      <c r="A8" s="4" t="s">
        <v>16</v>
      </c>
      <c r="B8" s="5" t="s">
        <v>17</v>
      </c>
      <c r="C8" s="9" t="s">
        <v>18</v>
      </c>
      <c r="D8" s="10"/>
      <c r="E8" s="7"/>
      <c r="F8" s="8" t="s">
        <v>19</v>
      </c>
    </row>
    <row r="9" customFormat="false" ht="43.5" hidden="false" customHeight="true" outlineLevel="0" collapsed="false">
      <c r="A9" s="6"/>
      <c r="B9" s="9"/>
      <c r="C9" s="9" t="s">
        <v>20</v>
      </c>
      <c r="D9" s="10"/>
      <c r="E9" s="7"/>
      <c r="F9" s="8" t="s">
        <v>21</v>
      </c>
    </row>
    <row r="10" customFormat="false" ht="43.5" hidden="false" customHeight="true" outlineLevel="0" collapsed="false">
      <c r="A10" s="6"/>
      <c r="B10" s="9"/>
      <c r="C10" s="9" t="s">
        <v>22</v>
      </c>
      <c r="D10" s="10"/>
      <c r="E10" s="7"/>
      <c r="F10" s="8" t="s">
        <v>23</v>
      </c>
    </row>
    <row r="11" customFormat="false" ht="30" hidden="false" customHeight="true" outlineLevel="0" collapsed="false">
      <c r="A11" s="6"/>
      <c r="B11" s="9"/>
      <c r="C11" s="6" t="s">
        <v>24</v>
      </c>
      <c r="D11" s="7"/>
      <c r="E11" s="7"/>
      <c r="F11" s="8"/>
    </row>
    <row r="12" customFormat="false" ht="43.5" hidden="false" customHeight="true" outlineLevel="0" collapsed="false">
      <c r="A12" s="4" t="s">
        <v>25</v>
      </c>
      <c r="B12" s="5" t="s">
        <v>26</v>
      </c>
      <c r="C12" s="6" t="s">
        <v>27</v>
      </c>
      <c r="D12" s="7"/>
      <c r="E12" s="7"/>
      <c r="F12" s="8"/>
    </row>
    <row r="13" customFormat="false" ht="31.5" hidden="false" customHeight="true" outlineLevel="0" collapsed="false">
      <c r="A13" s="6"/>
      <c r="B13" s="9"/>
      <c r="C13" s="9" t="s">
        <v>28</v>
      </c>
      <c r="D13" s="11"/>
      <c r="E13" s="7"/>
      <c r="F13" s="8" t="s">
        <v>29</v>
      </c>
    </row>
    <row r="14" customFormat="false" ht="31.5" hidden="false" customHeight="true" outlineLevel="0" collapsed="false">
      <c r="A14" s="6"/>
      <c r="B14" s="9"/>
      <c r="C14" s="9" t="s">
        <v>30</v>
      </c>
      <c r="D14" s="11"/>
      <c r="E14" s="7"/>
      <c r="F14" s="8" t="s">
        <v>29</v>
      </c>
    </row>
    <row r="15" customFormat="false" ht="31.5" hidden="false" customHeight="true" outlineLevel="0" collapsed="false">
      <c r="A15" s="6"/>
      <c r="B15" s="9"/>
      <c r="C15" s="9" t="s">
        <v>31</v>
      </c>
      <c r="D15" s="11"/>
      <c r="E15" s="7"/>
      <c r="F15" s="8" t="s">
        <v>29</v>
      </c>
    </row>
    <row r="16" customFormat="false" ht="16.5" hidden="false" customHeight="true" outlineLevel="0" collapsed="false">
      <c r="A16" s="6"/>
      <c r="B16" s="9"/>
      <c r="C16" s="9" t="s">
        <v>32</v>
      </c>
      <c r="D16" s="12" t="str">
        <f aca="false">IF(AND(ISNUMBER($D$13),ISNUMBER($D$14)),IF($D$13&gt;0,$D$14/$D$13-1,""),"")</f>
        <v/>
      </c>
      <c r="E16" s="7"/>
      <c r="F16" s="8" t="s">
        <v>29</v>
      </c>
    </row>
    <row r="17" customFormat="false" ht="30" hidden="false" customHeight="true" outlineLevel="0" collapsed="false">
      <c r="A17" s="6"/>
      <c r="B17" s="9"/>
      <c r="C17" s="9" t="s">
        <v>33</v>
      </c>
      <c r="D17" s="13" t="str">
        <f aca="false">IF(AND(ISNUMBER($D$14),ISNUMBER($D$15)),$D$14-$D$15,"")</f>
        <v/>
      </c>
      <c r="E17" s="7"/>
      <c r="F17" s="8" t="s">
        <v>29</v>
      </c>
    </row>
    <row r="18" customFormat="false" ht="31.5" hidden="false" customHeight="true" outlineLevel="0" collapsed="false">
      <c r="A18" s="6"/>
      <c r="B18" s="9"/>
      <c r="C18" s="9" t="s">
        <v>34</v>
      </c>
      <c r="D18" s="10"/>
      <c r="E18" s="7"/>
      <c r="F18" s="8" t="s">
        <v>35</v>
      </c>
    </row>
    <row r="19" customFormat="false" ht="31.5" hidden="false" customHeight="true" outlineLevel="0" collapsed="false">
      <c r="A19" s="6"/>
      <c r="B19" s="9"/>
      <c r="C19" s="9" t="s">
        <v>36</v>
      </c>
      <c r="D19" s="10"/>
      <c r="E19" s="7"/>
      <c r="F19" s="8" t="s">
        <v>35</v>
      </c>
    </row>
    <row r="20" customFormat="false" ht="31.5" hidden="false" customHeight="true" outlineLevel="0" collapsed="false">
      <c r="A20" s="6"/>
      <c r="B20" s="9"/>
      <c r="C20" s="9" t="s">
        <v>37</v>
      </c>
      <c r="D20" s="10"/>
      <c r="E20" s="7"/>
      <c r="F20" s="8" t="s">
        <v>38</v>
      </c>
    </row>
    <row r="21" customFormat="false" ht="57.75" hidden="false" customHeight="true" outlineLevel="0" collapsed="false">
      <c r="A21" s="6"/>
      <c r="B21" s="9"/>
      <c r="C21" s="9" t="s">
        <v>39</v>
      </c>
      <c r="D21" s="14" t="str">
        <f aca="false">IF(COUNT($D$14,$D$13,$D$15)&lt;3,"(fill in the three numbers above)","So the quote is "&amp;TEXT($D$14,"#,##0")&amp;" against "&amp;TEXT($D$13,"#,##0")&amp;" now. You can absorb "&amp;TEXT($D$15,"#,##0")&amp;". The board is "&amp;$D$18&amp;", the renewal is "&amp;$D$19&amp;". Did I get that right?")</f>
        <v>(fill in the three numbers above)</v>
      </c>
      <c r="E21" s="7"/>
      <c r="F21" s="8" t="s">
        <v>40</v>
      </c>
    </row>
    <row r="22" customFormat="false" ht="43.5" hidden="false" customHeight="true" outlineLevel="0" collapsed="false">
      <c r="A22" s="4" t="s">
        <v>41</v>
      </c>
      <c r="B22" s="5" t="s">
        <v>42</v>
      </c>
      <c r="C22" s="9" t="s">
        <v>43</v>
      </c>
      <c r="D22" s="10"/>
      <c r="E22" s="7"/>
      <c r="F22" s="8" t="s">
        <v>44</v>
      </c>
    </row>
    <row r="23" customFormat="false" ht="42" hidden="false" customHeight="true" outlineLevel="0" collapsed="false">
      <c r="A23" s="6"/>
      <c r="B23" s="9"/>
      <c r="C23" s="6" t="str">
        <f aca="false">IF($E23="","TARGETED root-cause question: pick a pain type in column E, the question appears here",IFERROR(INDEX(Lookup!$H$6:$H$25,MATCH($E23,Lookup!$A$6:$A$25,0)),"(pain type not in Lookup)"))</f>
        <v>TARGETED root-cause question: pick a pain type in column E, the question appears here</v>
      </c>
      <c r="D23" s="10"/>
      <c r="E23" s="10"/>
      <c r="F23" s="8" t="s">
        <v>44</v>
      </c>
    </row>
    <row r="24" customFormat="false" ht="31.5" hidden="false" customHeight="true" outlineLevel="0" collapsed="false">
      <c r="A24" s="6"/>
      <c r="B24" s="9"/>
      <c r="C24" s="9" t="s">
        <v>45</v>
      </c>
      <c r="D24" s="10"/>
      <c r="E24" s="7"/>
      <c r="F24" s="8" t="s">
        <v>46</v>
      </c>
    </row>
    <row r="25" customFormat="false" ht="57.75" hidden="false" customHeight="true" outlineLevel="0" collapsed="false">
      <c r="A25" s="6"/>
      <c r="B25" s="9"/>
      <c r="C25" s="9" t="s">
        <v>47</v>
      </c>
      <c r="D25" s="14" t="str">
        <f aca="false">IF(OR($D$22="",$D$24=""),"(fill in her cause and what else is driving it)","So it hits hard because "&amp;$D$22&amp;", and right now it matters because "&amp;$D$24&amp;". Did I get that right?")</f>
        <v>(fill in her cause and what else is driving it)</v>
      </c>
      <c r="E25" s="7"/>
      <c r="F25" s="8" t="s">
        <v>40</v>
      </c>
    </row>
    <row r="26" customFormat="false" ht="43.5" hidden="false" customHeight="true" outlineLevel="0" collapsed="false">
      <c r="A26" s="4" t="s">
        <v>48</v>
      </c>
      <c r="B26" s="5" t="s">
        <v>49</v>
      </c>
      <c r="C26" s="9" t="s">
        <v>50</v>
      </c>
      <c r="D26" s="10"/>
      <c r="E26" s="7"/>
      <c r="F26" s="8" t="s">
        <v>51</v>
      </c>
    </row>
    <row r="27" customFormat="false" ht="42" hidden="false" customHeight="true" outlineLevel="0" collapsed="false">
      <c r="A27" s="6"/>
      <c r="B27" s="9"/>
      <c r="C27" s="6" t="str">
        <f aca="false">IF($E27="","TARGETED impact question: pick a pain type in column E, the question appears here",IFERROR(INDEX(Lookup!$I$6:$I$25,MATCH($E27,Lookup!$A$6:$A$25,0)),"(pain type not in Lookup)"))</f>
        <v>TARGETED impact question: pick a pain type in column E, the question appears here</v>
      </c>
      <c r="D27" s="10"/>
      <c r="E27" s="10"/>
      <c r="F27" s="8" t="s">
        <v>52</v>
      </c>
    </row>
    <row r="28" customFormat="false" ht="31.5" hidden="false" customHeight="true" outlineLevel="0" collapsed="false">
      <c r="A28" s="6"/>
      <c r="B28" s="9"/>
      <c r="C28" s="9" t="s">
        <v>53</v>
      </c>
      <c r="D28" s="10"/>
      <c r="E28" s="7"/>
      <c r="F28" s="8" t="s">
        <v>46</v>
      </c>
    </row>
    <row r="29" customFormat="false" ht="31.5" hidden="false" customHeight="true" outlineLevel="0" collapsed="false">
      <c r="A29" s="6"/>
      <c r="B29" s="9"/>
      <c r="C29" s="9" t="s">
        <v>54</v>
      </c>
      <c r="D29" s="10"/>
      <c r="E29" s="7"/>
      <c r="F29" s="8" t="s">
        <v>51</v>
      </c>
    </row>
    <row r="30" customFormat="false" ht="31.5" hidden="false" customHeight="true" outlineLevel="0" collapsed="false">
      <c r="A30" s="6"/>
      <c r="B30" s="9"/>
      <c r="C30" s="9" t="s">
        <v>55</v>
      </c>
      <c r="D30" s="10"/>
      <c r="E30" s="7"/>
      <c r="F30" s="8" t="s">
        <v>51</v>
      </c>
    </row>
    <row r="31" customFormat="false" ht="43.5" hidden="false" customHeight="true" outlineLevel="0" collapsed="false">
      <c r="A31" s="4" t="s">
        <v>56</v>
      </c>
      <c r="B31" s="5" t="s">
        <v>57</v>
      </c>
      <c r="C31" s="6" t="s">
        <v>58</v>
      </c>
      <c r="D31" s="7"/>
      <c r="E31" s="7"/>
      <c r="F31" s="8"/>
    </row>
    <row r="32" customFormat="false" ht="31.5" hidden="false" customHeight="true" outlineLevel="0" collapsed="false">
      <c r="A32" s="6"/>
      <c r="B32" s="9"/>
      <c r="C32" s="9" t="s">
        <v>59</v>
      </c>
      <c r="D32" s="10"/>
      <c r="E32" s="10"/>
      <c r="F32" s="8" t="s">
        <v>60</v>
      </c>
    </row>
    <row r="33" customFormat="false" ht="31.5" hidden="false" customHeight="true" outlineLevel="0" collapsed="false">
      <c r="A33" s="6"/>
      <c r="B33" s="9"/>
      <c r="C33" s="9" t="s">
        <v>61</v>
      </c>
      <c r="D33" s="10"/>
      <c r="E33" s="10"/>
      <c r="F33" s="8" t="s">
        <v>60</v>
      </c>
    </row>
    <row r="34" customFormat="false" ht="31.5" hidden="false" customHeight="true" outlineLevel="0" collapsed="false">
      <c r="A34" s="6"/>
      <c r="B34" s="9"/>
      <c r="C34" s="9" t="s">
        <v>62</v>
      </c>
      <c r="D34" s="10"/>
      <c r="E34" s="10"/>
      <c r="F34" s="8" t="s">
        <v>60</v>
      </c>
    </row>
    <row r="35" customFormat="false" ht="31.5" hidden="false" customHeight="true" outlineLevel="0" collapsed="false">
      <c r="A35" s="6"/>
      <c r="B35" s="9"/>
      <c r="C35" s="9" t="s">
        <v>63</v>
      </c>
      <c r="D35" s="15"/>
      <c r="E35" s="7"/>
      <c r="F35" s="8" t="s">
        <v>64</v>
      </c>
    </row>
    <row r="36" customFormat="false" ht="31.5" hidden="false" customHeight="true" outlineLevel="0" collapsed="false">
      <c r="A36" s="6"/>
      <c r="B36" s="9"/>
      <c r="C36" s="9" t="s">
        <v>65</v>
      </c>
      <c r="D36" s="10"/>
      <c r="E36" s="7"/>
      <c r="F36" s="8" t="s">
        <v>46</v>
      </c>
    </row>
    <row r="37" customFormat="false" ht="72" hidden="false" customHeight="true" outlineLevel="0" collapsed="false">
      <c r="A37" s="6"/>
      <c r="B37" s="9"/>
      <c r="C37" s="9" t="s">
        <v>66</v>
      </c>
      <c r="D37" s="14" t="str">
        <f aca="false">IF(OR(COUNTA($D$32:$D$34)&lt;3,NOT(AND($D$35&gt;=1,$D$35&lt;=3))),"(type all three needs and pick which matters most)","So you need: "&amp;$D$32&amp;"; "&amp;$D$33&amp;"; and "&amp;$D$34&amp;". The most important is: "&amp;INDEX($D$32:$D$34,IF(AND($D$35&gt;=1,$D$35&lt;=3),$D$35,1))&amp;". Did I get that right?")</f>
        <v>(type all three needs and pick which matters most)</v>
      </c>
      <c r="E37" s="7"/>
      <c r="F37" s="8" t="s">
        <v>40</v>
      </c>
    </row>
    <row r="38" customFormat="false" ht="43.5" hidden="false" customHeight="true" outlineLevel="0" collapsed="false">
      <c r="A38" s="4" t="s">
        <v>67</v>
      </c>
      <c r="B38" s="5" t="s">
        <v>68</v>
      </c>
      <c r="C38" s="9" t="s">
        <v>69</v>
      </c>
      <c r="D38" s="10"/>
      <c r="E38" s="7"/>
      <c r="F38" s="8" t="s">
        <v>70</v>
      </c>
    </row>
    <row r="39" customFormat="false" ht="31.5" hidden="false" customHeight="true" outlineLevel="0" collapsed="false">
      <c r="A39" s="6"/>
      <c r="B39" s="9"/>
      <c r="C39" s="9" t="s">
        <v>71</v>
      </c>
      <c r="D39" s="10"/>
      <c r="E39" s="7"/>
      <c r="F39" s="8" t="s">
        <v>70</v>
      </c>
    </row>
    <row r="40" customFormat="false" ht="31.5" hidden="false" customHeight="true" outlineLevel="0" collapsed="false">
      <c r="A40" s="6"/>
      <c r="B40" s="9"/>
      <c r="C40" s="9" t="s">
        <v>72</v>
      </c>
      <c r="D40" s="10"/>
      <c r="E40" s="7"/>
      <c r="F40" s="8" t="s">
        <v>73</v>
      </c>
    </row>
  </sheetData>
  <mergeCells count="2">
    <mergeCell ref="A2:F2"/>
    <mergeCell ref="A3:F3"/>
  </mergeCells>
  <dataValidations count="2">
    <dataValidation allowBlank="true" errorStyle="stop" operator="between" showDropDown="false" showErrorMessage="false" showInputMessage="false" sqref="E23 E27 E32:E34" type="list">
      <formula1>Lookup!$A$6:$A$25</formula1>
      <formula2>0</formula2>
    </dataValidation>
    <dataValidation allowBlank="true" errorStyle="stop" operator="between" showDropDown="false" showErrorMessage="false" showInputMessage="false" sqref="D35"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34"/>
    <col collapsed="false" customWidth="true" hidden="false" outlineLevel="0" max="4" min="4" style="0" width="22"/>
    <col collapsed="false" customWidth="true" hidden="false" outlineLevel="0" max="5" min="5" style="0" width="34"/>
    <col collapsed="false" customWidth="true" hidden="false" outlineLevel="0" max="6" min="6" style="0" width="58"/>
    <col collapsed="false" customWidth="true" hidden="false" outlineLevel="0" max="7" min="7" style="0" width="52"/>
  </cols>
  <sheetData>
    <row r="1" customFormat="false" ht="17.35" hidden="false" customHeight="false" outlineLevel="0" collapsed="false">
      <c r="A1" s="1" t="s">
        <v>74</v>
      </c>
    </row>
    <row r="2" customFormat="false" ht="27.75" hidden="false" customHeight="true" outlineLevel="0" collapsed="false">
      <c r="A2" s="2" t="s">
        <v>75</v>
      </c>
      <c r="B2" s="2"/>
      <c r="C2" s="2"/>
      <c r="D2" s="2"/>
      <c r="E2" s="2"/>
      <c r="F2" s="2"/>
      <c r="G2" s="2"/>
    </row>
    <row r="3" customFormat="false" ht="15" hidden="false" customHeight="false" outlineLevel="0" collapsed="false">
      <c r="A3" s="16" t="str">
        <f aca="false">"Needs typed: "&amp;COUNTA(Call!$D$32:$D$34)&amp;" of 3.   Pain types picked: "&amp;COUNTA(Call!$E$32:$E$34)&amp;" of 3.   Top need chosen: "&amp;IF(AND(Call!$D$35&gt;=1,Call!$D$35&lt;=3),"yes","no (using need 1)")</f>
        <v>Needs typed: 0 of 3.   Pain types picked: 0 of 3.   Top need chosen: no (using need 1)</v>
      </c>
      <c r="B3" s="16"/>
      <c r="C3" s="16"/>
      <c r="D3" s="16"/>
      <c r="E3" s="16"/>
      <c r="F3" s="16"/>
      <c r="G3" s="16"/>
    </row>
    <row r="4" customFormat="false" ht="23.85" hidden="false" customHeight="false" outlineLevel="0" collapsed="false">
      <c r="A4" s="3" t="s">
        <v>76</v>
      </c>
      <c r="B4" s="3" t="s">
        <v>77</v>
      </c>
      <c r="C4" s="3" t="s">
        <v>78</v>
      </c>
      <c r="D4" s="3" t="s">
        <v>79</v>
      </c>
      <c r="E4" s="3" t="s">
        <v>80</v>
      </c>
      <c r="F4" s="3" t="s">
        <v>81</v>
      </c>
      <c r="G4" s="3" t="s">
        <v>82</v>
      </c>
    </row>
    <row r="5" customFormat="false" ht="19.5" hidden="false" customHeight="true" outlineLevel="0" collapsed="false">
      <c r="A5" s="6" t="s">
        <v>83</v>
      </c>
      <c r="B5" s="7"/>
      <c r="C5" s="8" t="s">
        <v>84</v>
      </c>
      <c r="D5" s="7"/>
      <c r="E5" s="7"/>
      <c r="F5" s="6" t="s">
        <v>85</v>
      </c>
      <c r="G5" s="7"/>
    </row>
    <row r="6" customFormat="false" ht="70.5" hidden="false" customHeight="true" outlineLevel="0" collapsed="false">
      <c r="A6" s="6" t="s">
        <v>86</v>
      </c>
      <c r="B6" s="7"/>
      <c r="C6" s="8" t="s">
        <v>87</v>
      </c>
      <c r="D6" s="7"/>
      <c r="E6" s="7"/>
      <c r="F6" s="6" t="s">
        <v>88</v>
      </c>
      <c r="G6" s="7"/>
    </row>
    <row r="7" customFormat="false" ht="91.5" hidden="false" customHeight="true" outlineLevel="0" collapsed="false">
      <c r="A7" s="9" t="s">
        <v>89</v>
      </c>
      <c r="B7" s="9" t="n">
        <f aca="false">IF(AND(Call!$D$35&gt;=1,Call!$D$35&lt;=3),Call!$D$35,1)</f>
        <v>1</v>
      </c>
      <c r="C7" s="9" t="str">
        <f aca="false">IF(INDEX(Call!$D$32:$D$34,B7)="","",INDEX(Call!$D$32:$D$34,B7))</f>
        <v/>
      </c>
      <c r="D7" s="9" t="str">
        <f aca="false">IF(INDEX(Call!$E$32:$E$34,B7)="","",INDEX(Call!$E$32:$E$34,B7))</f>
        <v/>
      </c>
      <c r="E7" s="9" t="str">
        <f aca="false">IF(D7="","",IFERROR(INDEX(Lookup!$C$6:$C$25,MATCH(D7,Lookup!$A$6:$A$25,0)),"(pain type not in Lookup)"))</f>
        <v/>
      </c>
      <c r="F7" s="6" t="str">
        <f aca="false">IF(C7="","(type need "&amp;B7&amp;" on the Call tab)",IF(D7="","We [pick a pain type for need "&amp;B7&amp;" on the Call tab]. You told me "&amp;C7&amp;" matters most"&amp;". So here's how that fits.","We "&amp;E7&amp;". You told me "&amp;C7&amp;" matters most"&amp;". So here's how that fits."))</f>
        <v>(type need 1 on the Call tab)</v>
      </c>
      <c r="G7" s="9" t="str">
        <f aca="false">IF(D7="","",IFERROR(INDEX(Lookup!$D$6:$D$25,MATCH(D7,Lookup!$A$6:$A$25,0))&amp;" Source: "&amp;INDEX(Lookup!$F$6:$F$25,MATCH(D7,Lookup!$A$6:$A$25,0)),"(no fact on file)"))</f>
        <v/>
      </c>
    </row>
    <row r="8" customFormat="false" ht="91.5" hidden="false" customHeight="true" outlineLevel="0" collapsed="false">
      <c r="A8" s="9" t="s">
        <v>90</v>
      </c>
      <c r="B8" s="9" t="n">
        <f aca="false">IF(B7=1,2,1)</f>
        <v>2</v>
      </c>
      <c r="C8" s="9" t="str">
        <f aca="false">IF(INDEX(Call!$D$32:$D$34,B8)="","",INDEX(Call!$D$32:$D$34,B8))</f>
        <v/>
      </c>
      <c r="D8" s="9" t="str">
        <f aca="false">IF(INDEX(Call!$E$32:$E$34,B8)="","",INDEX(Call!$E$32:$E$34,B8))</f>
        <v/>
      </c>
      <c r="E8" s="9" t="str">
        <f aca="false">IF(D8="","",IFERROR(INDEX(Lookup!$C$6:$C$25,MATCH(D8,Lookup!$A$6:$A$25,0)),"(pain type not in Lookup)"))</f>
        <v/>
      </c>
      <c r="F8" s="6" t="str">
        <f aca="false">IF(C8="","(type need "&amp;B8&amp;" on the Call tab)",IF(D8="","We [pick a pain type for need "&amp;B8&amp;" on the Call tab]. You told me "&amp;C8&amp;" matters"&amp;". So here's how that fits.","We "&amp;E8&amp;". You told me "&amp;C8&amp;" matters"&amp;". So here's how that fits."))</f>
        <v>(type need 2 on the Call tab)</v>
      </c>
      <c r="G8" s="9" t="str">
        <f aca="false">IF(D8="","",IFERROR(INDEX(Lookup!$D$6:$D$25,MATCH(D8,Lookup!$A$6:$A$25,0))&amp;" Source: "&amp;INDEX(Lookup!$F$6:$F$25,MATCH(D8,Lookup!$A$6:$A$25,0)),"(no fact on file)"))</f>
        <v/>
      </c>
    </row>
    <row r="9" customFormat="false" ht="91.5" hidden="false" customHeight="true" outlineLevel="0" collapsed="false">
      <c r="A9" s="9" t="s">
        <v>91</v>
      </c>
      <c r="B9" s="9" t="n">
        <f aca="false">IF(B7=3,2,3)</f>
        <v>3</v>
      </c>
      <c r="C9" s="9" t="str">
        <f aca="false">IF(INDEX(Call!$D$32:$D$34,B9)="","",INDEX(Call!$D$32:$D$34,B9))</f>
        <v/>
      </c>
      <c r="D9" s="9" t="str">
        <f aca="false">IF(INDEX(Call!$E$32:$E$34,B9)="","",INDEX(Call!$E$32:$E$34,B9))</f>
        <v/>
      </c>
      <c r="E9" s="9" t="str">
        <f aca="false">IF(D9="","",IFERROR(INDEX(Lookup!$C$6:$C$25,MATCH(D9,Lookup!$A$6:$A$25,0)),"(pain type not in Lookup)"))</f>
        <v/>
      </c>
      <c r="F9" s="6" t="str">
        <f aca="false">IF(C9="","(type need "&amp;B9&amp;" on the Call tab)",IF(D9="","We [pick a pain type for need "&amp;B9&amp;" on the Call tab]. You told me "&amp;C9&amp;" matters"&amp;". So here's how that fits.","We "&amp;E9&amp;". You told me "&amp;C9&amp;" matters"&amp;". So here's how that fits."))</f>
        <v>(type need 3 on the Call tab)</v>
      </c>
      <c r="G9" s="9" t="str">
        <f aca="false">IF(D9="","",IFERROR(INDEX(Lookup!$D$6:$D$25,MATCH(D9,Lookup!$A$6:$A$25,0))&amp;" Source: "&amp;INDEX(Lookup!$F$6:$F$25,MATCH(D9,Lookup!$A$6:$A$25,0)),"(no fact on file)"))</f>
        <v/>
      </c>
    </row>
    <row r="10" customFormat="false" ht="43.5" hidden="false" customHeight="true" outlineLevel="0" collapsed="false">
      <c r="A10" s="6" t="s">
        <v>92</v>
      </c>
      <c r="B10" s="7"/>
      <c r="C10" s="8" t="s">
        <v>93</v>
      </c>
      <c r="D10" s="7"/>
      <c r="E10" s="7"/>
      <c r="F10" s="6" t="s">
        <v>94</v>
      </c>
      <c r="G10" s="7"/>
    </row>
    <row r="12" customFormat="false" ht="15" hidden="false" customHeight="false" outlineLevel="0" collapsed="false">
      <c r="A12" s="17" t="s">
        <v>95</v>
      </c>
    </row>
    <row r="13" customFormat="false" ht="21.75" hidden="false" customHeight="true" outlineLevel="0" collapsed="false">
      <c r="A13" s="6" t="s">
        <v>83</v>
      </c>
      <c r="B13" s="7"/>
      <c r="C13" s="8" t="s">
        <v>96</v>
      </c>
      <c r="D13" s="7"/>
      <c r="E13" s="7"/>
      <c r="F13" s="6" t="s">
        <v>97</v>
      </c>
      <c r="G13" s="7"/>
    </row>
    <row r="14" customFormat="false" ht="21.75" hidden="false" customHeight="true" outlineLevel="0" collapsed="false">
      <c r="A14" s="6" t="s">
        <v>86</v>
      </c>
      <c r="B14" s="7"/>
      <c r="C14" s="8" t="s">
        <v>98</v>
      </c>
      <c r="D14" s="7"/>
      <c r="E14" s="7"/>
      <c r="F14" s="6" t="s">
        <v>99</v>
      </c>
      <c r="G14" s="7"/>
    </row>
    <row r="15" customFormat="false" ht="57.75" hidden="false" customHeight="true" outlineLevel="0" collapsed="false">
      <c r="A15" s="6" t="s">
        <v>89</v>
      </c>
      <c r="B15" s="7"/>
      <c r="C15" s="8" t="s">
        <v>100</v>
      </c>
      <c r="D15" s="7"/>
      <c r="E15" s="7"/>
      <c r="F15" s="6" t="str">
        <f aca="false">IF(Call!$D$18="","""Let's book a working session, worked back from your deadline. Who else should be in the room?""","""Let's book a working session before "&amp;Call!$D$18&amp;", worked back from that date. In the room: you, "&amp;IF(Call!$D$29="","your finance and compliance leads",Call!$D$29)&amp;", the reseller and our engineer. Who else should be in the room?""")</f>
        <v>"Let's book a working session, worked back from your deadline. Who else should be in the room?"</v>
      </c>
      <c r="G15" s="7"/>
    </row>
    <row r="16" customFormat="false" ht="21.75" hidden="false" customHeight="true" outlineLevel="0" collapsed="false">
      <c r="A16" s="6" t="s">
        <v>90</v>
      </c>
      <c r="B16" s="7"/>
      <c r="C16" s="8" t="s">
        <v>101</v>
      </c>
      <c r="D16" s="7"/>
      <c r="E16" s="7"/>
      <c r="F16" s="6" t="s">
        <v>102</v>
      </c>
      <c r="G16" s="7"/>
    </row>
    <row r="18" customFormat="false" ht="15" hidden="false" customHeight="false" outlineLevel="0" collapsed="false">
      <c r="A18" s="17" t="s">
        <v>103</v>
      </c>
    </row>
    <row r="19" customFormat="false" ht="15.75" hidden="false" customHeight="true" outlineLevel="0" collapsed="false">
      <c r="A19" s="18" t="s">
        <v>104</v>
      </c>
      <c r="B19" s="18"/>
      <c r="C19" s="19" t="str">
        <f aca="false">IF(Call!$D$13="","",Call!$D$13)</f>
        <v/>
      </c>
      <c r="D19" s="19"/>
      <c r="E19" s="19"/>
      <c r="F19" s="19"/>
    </row>
    <row r="20" customFormat="false" ht="15.75" hidden="false" customHeight="true" outlineLevel="0" collapsed="false">
      <c r="A20" s="18" t="s">
        <v>105</v>
      </c>
      <c r="B20" s="18"/>
      <c r="C20" s="19" t="str">
        <f aca="false">IF(Call!$D$14="","",Call!$D$14)</f>
        <v/>
      </c>
      <c r="D20" s="19"/>
      <c r="E20" s="19"/>
      <c r="F20" s="19"/>
    </row>
    <row r="21" customFormat="false" ht="15.75" hidden="false" customHeight="true" outlineLevel="0" collapsed="false">
      <c r="A21" s="18" t="s">
        <v>106</v>
      </c>
      <c r="B21" s="18"/>
      <c r="C21" s="20" t="str">
        <f aca="false">Call!$D$16</f>
        <v/>
      </c>
      <c r="D21" s="20"/>
      <c r="E21" s="20"/>
      <c r="F21" s="20"/>
    </row>
    <row r="22" customFormat="false" ht="15.75" hidden="false" customHeight="true" outlineLevel="0" collapsed="false">
      <c r="A22" s="18" t="s">
        <v>107</v>
      </c>
      <c r="B22" s="18"/>
      <c r="C22" s="19" t="str">
        <f aca="false">IF(Call!$D$15="","",Call!$D$15)</f>
        <v/>
      </c>
      <c r="D22" s="19"/>
      <c r="E22" s="19"/>
      <c r="F22" s="19"/>
    </row>
    <row r="23" customFormat="false" ht="15.75" hidden="false" customHeight="true" outlineLevel="0" collapsed="false">
      <c r="A23" s="18" t="s">
        <v>108</v>
      </c>
      <c r="B23" s="18"/>
      <c r="C23" s="19" t="str">
        <f aca="false">Call!$D$17</f>
        <v/>
      </c>
      <c r="D23" s="19"/>
      <c r="E23" s="19"/>
      <c r="F23" s="19"/>
    </row>
    <row r="24" customFormat="false" ht="15.75" hidden="false" customHeight="true" outlineLevel="0" collapsed="false">
      <c r="A24" s="18" t="s">
        <v>109</v>
      </c>
      <c r="B24" s="18"/>
      <c r="C24" s="21" t="str">
        <f aca="false">IF(Call!$D$18="","",Call!$D$18)</f>
        <v/>
      </c>
      <c r="D24" s="21"/>
      <c r="E24" s="21"/>
      <c r="F24" s="21"/>
    </row>
    <row r="25" customFormat="false" ht="15.75" hidden="false" customHeight="true" outlineLevel="0" collapsed="false">
      <c r="A25" s="18" t="s">
        <v>110</v>
      </c>
      <c r="B25" s="18"/>
      <c r="C25" s="21" t="str">
        <f aca="false">IF(Call!$D$19="","",Call!$D$19)</f>
        <v/>
      </c>
      <c r="D25" s="21"/>
      <c r="E25" s="21"/>
      <c r="F25" s="21"/>
    </row>
    <row r="26" customFormat="false" ht="27.75" hidden="false" customHeight="true" outlineLevel="0" collapsed="false">
      <c r="A26" s="18" t="s">
        <v>111</v>
      </c>
      <c r="B26" s="18"/>
      <c r="C26" s="21" t="str">
        <f aca="false">IF(Call!$D$7="","",Call!$D$7)</f>
        <v/>
      </c>
      <c r="D26" s="21"/>
      <c r="E26" s="21"/>
      <c r="F26" s="21"/>
    </row>
    <row r="27" customFormat="false" ht="27.75" hidden="false" customHeight="true" outlineLevel="0" collapsed="false">
      <c r="A27" s="18" t="s">
        <v>112</v>
      </c>
      <c r="B27" s="18"/>
      <c r="C27" s="21" t="str">
        <f aca="false">IF(COUNTA(Call!$D$32:$D$34)=0,"",IF(INDEX(Call!$D$32:$D$34,IF(AND(Call!$D$35&gt;=1,Call!$D$35&lt;=3),Call!$D$35,1))="","",INDEX(Call!$D$32:$D$34,IF(AND(Call!$D$35&gt;=1,Call!$D$35&lt;=3),Call!$D$35,1))))</f>
        <v/>
      </c>
      <c r="D27" s="21"/>
      <c r="E27" s="21"/>
      <c r="F27" s="21"/>
    </row>
    <row r="28" customFormat="false" ht="27.75" hidden="false" customHeight="true" outlineLevel="0" collapsed="false">
      <c r="A28" s="18" t="s">
        <v>113</v>
      </c>
      <c r="B28" s="18"/>
      <c r="C28" s="21" t="str">
        <f aca="false">IF(Call!$D$36="","",Call!$D$36)</f>
        <v/>
      </c>
      <c r="D28" s="21"/>
      <c r="E28" s="21"/>
      <c r="F28" s="21"/>
    </row>
    <row r="29" customFormat="false" ht="27.75" hidden="false" customHeight="true" outlineLevel="0" collapsed="false">
      <c r="A29" s="18" t="s">
        <v>114</v>
      </c>
      <c r="B29" s="18"/>
      <c r="C29" s="21" t="str">
        <f aca="false">IF(Call!$D$29="","",Call!$D$29)</f>
        <v/>
      </c>
      <c r="D29" s="21"/>
      <c r="E29" s="21"/>
      <c r="F29" s="21"/>
    </row>
    <row r="31" customFormat="false" ht="30" hidden="false" customHeight="true" outlineLevel="0" collapsed="false">
      <c r="A31" s="2" t="s">
        <v>115</v>
      </c>
      <c r="B31" s="2"/>
      <c r="C31" s="2"/>
      <c r="D31" s="2"/>
      <c r="E31" s="2"/>
      <c r="F31" s="2"/>
      <c r="G31" s="2"/>
    </row>
  </sheetData>
  <mergeCells count="25">
    <mergeCell ref="A2:G2"/>
    <mergeCell ref="A3:G3"/>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 ref="A29:B29"/>
    <mergeCell ref="C29:F29"/>
    <mergeCell ref="A31:G3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52"/>
    <col collapsed="false" customWidth="true" hidden="false" outlineLevel="0" max="5" min="4" style="0" width="14"/>
    <col collapsed="false" customWidth="true" hidden="false" outlineLevel="0" max="6" min="6" style="0" width="44"/>
  </cols>
  <sheetData>
    <row r="1" customFormat="false" ht="17.35" hidden="false" customHeight="false" outlineLevel="0" collapsed="false">
      <c r="A1" s="1" t="s">
        <v>116</v>
      </c>
    </row>
    <row r="2" customFormat="false" ht="27.75" hidden="false" customHeight="true" outlineLevel="0" collapsed="false">
      <c r="A2" s="2" t="s">
        <v>117</v>
      </c>
      <c r="B2" s="2"/>
      <c r="C2" s="2"/>
      <c r="D2" s="2"/>
      <c r="E2" s="2"/>
      <c r="F2" s="2"/>
    </row>
    <row r="4" customFormat="false" ht="15" hidden="false" customHeight="false" outlineLevel="0" collapsed="false">
      <c r="A4" s="17" t="s">
        <v>118</v>
      </c>
    </row>
    <row r="5" customFormat="false" ht="15" hidden="false" customHeight="false" outlineLevel="0" collapsed="false">
      <c r="A5" s="3" t="s">
        <v>76</v>
      </c>
      <c r="B5" s="3" t="s">
        <v>119</v>
      </c>
      <c r="C5" s="3" t="s">
        <v>120</v>
      </c>
      <c r="D5" s="3" t="s">
        <v>121</v>
      </c>
      <c r="E5" s="3" t="s">
        <v>122</v>
      </c>
      <c r="F5" s="3" t="s">
        <v>123</v>
      </c>
    </row>
    <row r="6" customFormat="false" ht="30" hidden="false" customHeight="true" outlineLevel="0" collapsed="false">
      <c r="A6" s="9" t="s">
        <v>124</v>
      </c>
      <c r="B6" s="9" t="s">
        <v>125</v>
      </c>
      <c r="C6" s="9" t="s">
        <v>126</v>
      </c>
      <c r="D6" s="9" t="str">
        <f aca="false">IF(COUNTA(Call!$D$7)&gt;=1,"Done","Not yet")</f>
        <v>Not yet</v>
      </c>
      <c r="E6" s="10"/>
      <c r="F6" s="10"/>
    </row>
    <row r="7" customFormat="false" ht="30" hidden="false" customHeight="true" outlineLevel="0" collapsed="false">
      <c r="A7" s="9" t="s">
        <v>127</v>
      </c>
      <c r="B7" s="9" t="s">
        <v>128</v>
      </c>
      <c r="C7" s="9" t="s">
        <v>129</v>
      </c>
      <c r="D7" s="9" t="str">
        <f aca="false">IF(COUNTA(Call!$D$8,Call!$D$9,Call!$D$10,Call!$D$22)&gt;=3,"Done","Not yet")</f>
        <v>Not yet</v>
      </c>
      <c r="E7" s="10"/>
      <c r="F7" s="10"/>
    </row>
    <row r="8" customFormat="false" ht="30" hidden="false" customHeight="true" outlineLevel="0" collapsed="false">
      <c r="A8" s="9" t="s">
        <v>130</v>
      </c>
      <c r="B8" s="9" t="s">
        <v>131</v>
      </c>
      <c r="C8" s="9" t="s">
        <v>132</v>
      </c>
      <c r="D8" s="9" t="str">
        <f aca="false">IF(AND(COUNTA(Call!$D$32:$D$34)=3,AND(Call!$D$35&gt;=1,Call!$D$35&lt;=3)),"Done","Not yet")</f>
        <v>Not yet</v>
      </c>
      <c r="E8" s="10"/>
      <c r="F8" s="10"/>
    </row>
    <row r="9" customFormat="false" ht="30" hidden="false" customHeight="true" outlineLevel="0" collapsed="false">
      <c r="A9" s="9" t="s">
        <v>133</v>
      </c>
      <c r="B9" s="9" t="s">
        <v>134</v>
      </c>
      <c r="C9" s="9" t="s">
        <v>135</v>
      </c>
      <c r="D9" s="9" t="str">
        <f aca="false">IF(COUNTA(Call!$D$20,Call!$D$26,Call!$D$28)&gt;=2,"Done","Not yet")</f>
        <v>Not yet</v>
      </c>
      <c r="E9" s="10"/>
      <c r="F9" s="10"/>
    </row>
    <row r="10" customFormat="false" ht="30" hidden="false" customHeight="true" outlineLevel="0" collapsed="false">
      <c r="A10" s="9" t="s">
        <v>136</v>
      </c>
      <c r="B10" s="9" t="s">
        <v>137</v>
      </c>
      <c r="C10" s="9" t="s">
        <v>138</v>
      </c>
      <c r="D10" s="9" t="str">
        <f aca="false">IF(COUNTA(Call!$D$18,Call!$D$19)&gt;=2,"Done","Not yet")</f>
        <v>Not yet</v>
      </c>
      <c r="E10" s="10"/>
      <c r="F10" s="10"/>
    </row>
    <row r="11" customFormat="false" ht="30" hidden="false" customHeight="true" outlineLevel="0" collapsed="false">
      <c r="A11" s="9" t="s">
        <v>86</v>
      </c>
      <c r="B11" s="9" t="s">
        <v>139</v>
      </c>
      <c r="C11" s="9" t="s">
        <v>140</v>
      </c>
      <c r="D11" s="9" t="s">
        <v>141</v>
      </c>
      <c r="E11" s="10"/>
      <c r="F11" s="10"/>
    </row>
    <row r="12" customFormat="false" ht="30" hidden="false" customHeight="true" outlineLevel="0" collapsed="false">
      <c r="A12" s="9" t="s">
        <v>89</v>
      </c>
      <c r="B12" s="9" t="s">
        <v>142</v>
      </c>
      <c r="C12" s="9" t="s">
        <v>143</v>
      </c>
      <c r="D12" s="9" t="s">
        <v>141</v>
      </c>
      <c r="E12" s="10"/>
      <c r="F12" s="10"/>
    </row>
    <row r="13" customFormat="false" ht="30" hidden="false" customHeight="true" outlineLevel="0" collapsed="false">
      <c r="A13" s="9" t="s">
        <v>90</v>
      </c>
      <c r="B13" s="9" t="s">
        <v>144</v>
      </c>
      <c r="C13" s="9" t="s">
        <v>145</v>
      </c>
      <c r="D13" s="9" t="str">
        <f aca="false">IF(COUNTA(Call!$D$39,Call!$D$38)&gt;=2,"Done","Not yet")</f>
        <v>Not yet</v>
      </c>
      <c r="E13" s="10"/>
      <c r="F13" s="10"/>
    </row>
    <row r="15" customFormat="false" ht="15" hidden="false" customHeight="false" outlineLevel="0" collapsed="false">
      <c r="A15" s="17" t="s">
        <v>146</v>
      </c>
    </row>
    <row r="16" customFormat="false" ht="15" hidden="false" customHeight="false" outlineLevel="0" collapsed="false">
      <c r="A16" s="3" t="s">
        <v>76</v>
      </c>
      <c r="B16" s="3" t="s">
        <v>147</v>
      </c>
      <c r="C16" s="3" t="s">
        <v>148</v>
      </c>
      <c r="D16" s="3"/>
      <c r="E16" s="3" t="s">
        <v>149</v>
      </c>
      <c r="F16" s="3" t="s">
        <v>150</v>
      </c>
    </row>
    <row r="17" customFormat="false" ht="30" hidden="false" customHeight="true" outlineLevel="0" collapsed="false">
      <c r="A17" s="9" t="s">
        <v>83</v>
      </c>
      <c r="B17" s="9" t="s">
        <v>151</v>
      </c>
      <c r="C17" s="9" t="s">
        <v>152</v>
      </c>
      <c r="D17" s="9"/>
      <c r="E17" s="10"/>
      <c r="F17" s="10"/>
    </row>
    <row r="18" customFormat="false" ht="30" hidden="false" customHeight="true" outlineLevel="0" collapsed="false">
      <c r="A18" s="9" t="s">
        <v>86</v>
      </c>
      <c r="B18" s="9" t="s">
        <v>153</v>
      </c>
      <c r="C18" s="9" t="s">
        <v>154</v>
      </c>
      <c r="D18" s="9"/>
      <c r="E18" s="10"/>
      <c r="F18" s="10"/>
    </row>
    <row r="19" customFormat="false" ht="30" hidden="false" customHeight="true" outlineLevel="0" collapsed="false">
      <c r="A19" s="9" t="s">
        <v>89</v>
      </c>
      <c r="B19" s="9" t="s">
        <v>155</v>
      </c>
      <c r="C19" s="9" t="s">
        <v>156</v>
      </c>
      <c r="D19" s="9"/>
      <c r="E19" s="10"/>
      <c r="F19" s="10"/>
    </row>
    <row r="20" customFormat="false" ht="30" hidden="false" customHeight="true" outlineLevel="0" collapsed="false">
      <c r="A20" s="9" t="s">
        <v>90</v>
      </c>
      <c r="B20" s="9" t="s">
        <v>157</v>
      </c>
      <c r="C20" s="9" t="s">
        <v>158</v>
      </c>
      <c r="D20" s="9"/>
      <c r="E20" s="10"/>
      <c r="F20" s="10"/>
    </row>
    <row r="21" customFormat="false" ht="30" hidden="false" customHeight="true" outlineLevel="0" collapsed="false">
      <c r="A21" s="9" t="s">
        <v>91</v>
      </c>
      <c r="B21" s="9" t="s">
        <v>159</v>
      </c>
      <c r="C21" s="9" t="s">
        <v>160</v>
      </c>
      <c r="D21" s="9"/>
      <c r="E21" s="10"/>
      <c r="F21" s="10"/>
    </row>
    <row r="22" customFormat="false" ht="30" hidden="false" customHeight="true" outlineLevel="0" collapsed="false">
      <c r="A22" s="9" t="s">
        <v>92</v>
      </c>
      <c r="B22" s="9" t="s">
        <v>161</v>
      </c>
      <c r="C22" s="9" t="s">
        <v>162</v>
      </c>
      <c r="D22" s="9"/>
      <c r="E22" s="10"/>
      <c r="F22" s="10"/>
    </row>
    <row r="23" customFormat="false" ht="30" hidden="false" customHeight="true" outlineLevel="0" collapsed="false">
      <c r="A23" s="9" t="s">
        <v>163</v>
      </c>
      <c r="B23" s="9" t="s">
        <v>164</v>
      </c>
      <c r="C23" s="9" t="s">
        <v>165</v>
      </c>
      <c r="D23" s="9"/>
      <c r="E23" s="10"/>
      <c r="F23" s="10"/>
    </row>
    <row r="24" customFormat="false" ht="15" hidden="false" customHeight="false" outlineLevel="0" collapsed="false">
      <c r="B24" s="17" t="s">
        <v>166</v>
      </c>
      <c r="E24" s="22" t="str">
        <f aca="false">IF(COUNT(E17:E23)=0,"",SUM(E17:E23)&amp;" / 35")</f>
        <v/>
      </c>
    </row>
    <row r="26" customFormat="false" ht="15" hidden="false" customHeight="false" outlineLevel="0" collapsed="false">
      <c r="A26" s="17" t="s">
        <v>167</v>
      </c>
    </row>
    <row r="27" customFormat="false" ht="15" hidden="false" customHeight="false" outlineLevel="0" collapsed="false">
      <c r="A27" s="3"/>
      <c r="B27" s="3" t="s">
        <v>168</v>
      </c>
      <c r="C27" s="3" t="s">
        <v>169</v>
      </c>
      <c r="D27" s="3" t="s">
        <v>170</v>
      </c>
      <c r="E27" s="3"/>
      <c r="F27" s="3" t="s">
        <v>171</v>
      </c>
    </row>
    <row r="28" customFormat="false" ht="15" hidden="false" customHeight="false" outlineLevel="0" collapsed="false">
      <c r="B28" s="18" t="s">
        <v>172</v>
      </c>
      <c r="C28" s="18" t="s">
        <v>173</v>
      </c>
      <c r="D28" s="23"/>
      <c r="E28" s="24"/>
      <c r="F28" s="18" t="str">
        <f aca="false">IF(D28="","",IF(D28&lt;=23,"On time","Late by "&amp;(D28-23)&amp;" min"))</f>
        <v/>
      </c>
    </row>
    <row r="29" customFormat="false" ht="15" hidden="false" customHeight="false" outlineLevel="0" collapsed="false">
      <c r="B29" s="18" t="s">
        <v>174</v>
      </c>
      <c r="C29" s="18" t="s">
        <v>175</v>
      </c>
      <c r="D29" s="23"/>
      <c r="E29" s="24"/>
      <c r="F29" s="18" t="str">
        <f aca="false">IF(D29="","",IF(D29&lt;=27,"On time","Late by "&amp;(D29-27)&amp;" min"))</f>
        <v/>
      </c>
    </row>
    <row r="30" customFormat="false" ht="15" hidden="false" customHeight="false" outlineLevel="0" collapsed="false">
      <c r="B30" s="18" t="s">
        <v>176</v>
      </c>
      <c r="C30" s="18" t="s">
        <v>177</v>
      </c>
      <c r="D30" s="23"/>
      <c r="E30" s="24"/>
      <c r="F30" s="18" t="str">
        <f aca="false">IF(D30="","",IF(D30&lt;=30,"On time","Late by "&amp;(D30-30)&amp;" min"))</f>
        <v/>
      </c>
    </row>
    <row r="32" customFormat="false" ht="15" hidden="false" customHeight="false" outlineLevel="0" collapsed="false">
      <c r="A32" s="17" t="s">
        <v>178</v>
      </c>
    </row>
    <row r="33" customFormat="false" ht="15" hidden="false" customHeight="true" outlineLevel="0" collapsed="false">
      <c r="B33" s="25" t="s">
        <v>179</v>
      </c>
      <c r="C33" s="25"/>
      <c r="D33" s="25"/>
      <c r="E33" s="25"/>
      <c r="F33" s="25"/>
    </row>
    <row r="34" customFormat="false" ht="15" hidden="false" customHeight="true" outlineLevel="0" collapsed="false">
      <c r="B34" s="25" t="s">
        <v>180</v>
      </c>
      <c r="C34" s="25"/>
      <c r="D34" s="25"/>
      <c r="E34" s="25"/>
      <c r="F34" s="25"/>
    </row>
    <row r="35" customFormat="false" ht="15" hidden="false" customHeight="true" outlineLevel="0" collapsed="false">
      <c r="B35" s="25" t="s">
        <v>181</v>
      </c>
      <c r="C35" s="25"/>
      <c r="D35" s="25"/>
      <c r="E35" s="25"/>
      <c r="F35" s="25"/>
    </row>
  </sheetData>
  <mergeCells count="4">
    <mergeCell ref="A2:F2"/>
    <mergeCell ref="B33:F33"/>
    <mergeCell ref="B34:F34"/>
    <mergeCell ref="B35:F35"/>
  </mergeCells>
  <dataValidations count="2">
    <dataValidation allowBlank="true" errorStyle="stop" operator="between" showDropDown="false" showErrorMessage="false" showInputMessage="false" sqref="E6:E13" type="list">
      <formula1>"Yes,Partly,No"</formula1>
      <formula2>0</formula2>
    </dataValidation>
    <dataValidation allowBlank="true" errorStyle="stop" operator="between" showDropDown="false" showErrorMessage="false" showInputMessage="false" sqref="E17:E23"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46"/>
  </cols>
  <sheetData>
    <row r="1" customFormat="false" ht="17.35" hidden="false" customHeight="false" outlineLevel="0" collapsed="false">
      <c r="A1" s="1" t="s">
        <v>182</v>
      </c>
    </row>
    <row r="2" customFormat="false" ht="27.75" hidden="false" customHeight="true" outlineLevel="0" collapsed="false">
      <c r="A2" s="2" t="s">
        <v>183</v>
      </c>
      <c r="B2" s="2"/>
      <c r="C2" s="2"/>
    </row>
    <row r="4" customFormat="false" ht="15" hidden="false" customHeight="false" outlineLevel="0" collapsed="false">
      <c r="A4" s="3" t="s">
        <v>184</v>
      </c>
      <c r="B4" s="3" t="s">
        <v>185</v>
      </c>
      <c r="C4" s="3" t="s">
        <v>186</v>
      </c>
    </row>
    <row r="5" customFormat="false" ht="43.5" hidden="false" customHeight="true" outlineLevel="0" collapsed="false">
      <c r="A5" s="6" t="s">
        <v>187</v>
      </c>
      <c r="B5" s="9" t="s">
        <v>188</v>
      </c>
      <c r="C5" s="9" t="s">
        <v>189</v>
      </c>
    </row>
    <row r="6" customFormat="false" ht="30" hidden="false" customHeight="true" outlineLevel="0" collapsed="false">
      <c r="A6" s="6" t="s">
        <v>190</v>
      </c>
      <c r="B6" s="9" t="s">
        <v>191</v>
      </c>
      <c r="C6" s="9" t="s">
        <v>189</v>
      </c>
    </row>
    <row r="7" customFormat="false" ht="57" hidden="false" customHeight="true" outlineLevel="0" collapsed="false">
      <c r="A7" s="6" t="s">
        <v>192</v>
      </c>
      <c r="B7" s="9" t="s">
        <v>193</v>
      </c>
      <c r="C7" s="9" t="s">
        <v>194</v>
      </c>
    </row>
    <row r="8" customFormat="false" ht="84" hidden="false" customHeight="true" outlineLevel="0" collapsed="false">
      <c r="A8" s="6" t="s">
        <v>195</v>
      </c>
      <c r="B8" s="9" t="s">
        <v>196</v>
      </c>
      <c r="C8" s="9" t="s">
        <v>197</v>
      </c>
    </row>
    <row r="9" customFormat="false" ht="57" hidden="false" customHeight="true" outlineLevel="0" collapsed="false">
      <c r="A9" s="6" t="s">
        <v>198</v>
      </c>
      <c r="B9" s="9" t="s">
        <v>199</v>
      </c>
      <c r="C9" s="9" t="s">
        <v>200</v>
      </c>
    </row>
    <row r="10" customFormat="false" ht="57" hidden="false" customHeight="true" outlineLevel="0" collapsed="false">
      <c r="A10" s="6" t="s">
        <v>201</v>
      </c>
      <c r="B10" s="9" t="s">
        <v>202</v>
      </c>
      <c r="C10" s="9" t="s">
        <v>194</v>
      </c>
    </row>
    <row r="11" customFormat="false" ht="57" hidden="false" customHeight="true" outlineLevel="0" collapsed="false">
      <c r="A11" s="6" t="s">
        <v>203</v>
      </c>
      <c r="B11" s="9" t="s">
        <v>204</v>
      </c>
      <c r="C11" s="9" t="s">
        <v>194</v>
      </c>
    </row>
    <row r="12" customFormat="false" ht="43.5" hidden="false" customHeight="true" outlineLevel="0" collapsed="false">
      <c r="A12" s="6" t="s">
        <v>205</v>
      </c>
      <c r="B12" s="9" t="s">
        <v>206</v>
      </c>
      <c r="C12" s="9" t="s">
        <v>189</v>
      </c>
    </row>
    <row r="13" customFormat="false" ht="43.5" hidden="false" customHeight="true" outlineLevel="0" collapsed="false">
      <c r="A13" s="6" t="s">
        <v>207</v>
      </c>
      <c r="B13" s="9" t="s">
        <v>208</v>
      </c>
      <c r="C13" s="9" t="s">
        <v>189</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8"/>
    <col collapsed="false" customWidth="true" hidden="false" outlineLevel="0" max="3" min="3" style="0" width="66"/>
    <col collapsed="false" customWidth="true" hidden="false" outlineLevel="0" max="4" min="4" style="0" width="38"/>
  </cols>
  <sheetData>
    <row r="1" customFormat="false" ht="17.35" hidden="false" customHeight="false" outlineLevel="0" collapsed="false">
      <c r="A1" s="1" t="s">
        <v>209</v>
      </c>
    </row>
    <row r="2" customFormat="false" ht="15" hidden="false" customHeight="false" outlineLevel="0" collapsed="false">
      <c r="A2" s="26" t="s">
        <v>210</v>
      </c>
    </row>
    <row r="4" customFormat="false" ht="15" hidden="false" customHeight="false" outlineLevel="0" collapsed="false">
      <c r="A4" s="3" t="s">
        <v>211</v>
      </c>
      <c r="B4" s="3" t="s">
        <v>212</v>
      </c>
      <c r="C4" s="3" t="s">
        <v>213</v>
      </c>
      <c r="D4" s="3" t="s">
        <v>214</v>
      </c>
    </row>
    <row r="5" customFormat="false" ht="43.5" hidden="false" customHeight="true" outlineLevel="0" collapsed="false">
      <c r="A5" s="9" t="s">
        <v>215</v>
      </c>
      <c r="B5" s="9" t="s">
        <v>216</v>
      </c>
      <c r="C5" s="6" t="s">
        <v>217</v>
      </c>
      <c r="D5" s="9" t="s">
        <v>218</v>
      </c>
    </row>
    <row r="6" customFormat="false" ht="43.5" hidden="false" customHeight="true" outlineLevel="0" collapsed="false">
      <c r="A6" s="9" t="s">
        <v>219</v>
      </c>
      <c r="B6" s="9" t="s">
        <v>220</v>
      </c>
      <c r="C6" s="6" t="s">
        <v>221</v>
      </c>
      <c r="D6" s="9" t="s">
        <v>222</v>
      </c>
    </row>
    <row r="7" customFormat="false" ht="57" hidden="false" customHeight="true" outlineLevel="0" collapsed="false">
      <c r="A7" s="9" t="s">
        <v>223</v>
      </c>
      <c r="B7" s="9" t="s">
        <v>224</v>
      </c>
      <c r="C7" s="6" t="s">
        <v>225</v>
      </c>
      <c r="D7" s="9" t="s">
        <v>226</v>
      </c>
    </row>
    <row r="8" customFormat="false" ht="30" hidden="false" customHeight="true" outlineLevel="0" collapsed="false">
      <c r="A8" s="9" t="s">
        <v>227</v>
      </c>
      <c r="B8" s="9" t="s">
        <v>228</v>
      </c>
      <c r="C8" s="6" t="s">
        <v>229</v>
      </c>
      <c r="D8" s="9" t="s">
        <v>230</v>
      </c>
    </row>
    <row r="9" customFormat="false" ht="30" hidden="false" customHeight="true" outlineLevel="0" collapsed="false">
      <c r="A9" s="9" t="s">
        <v>231</v>
      </c>
      <c r="B9" s="9" t="s">
        <v>232</v>
      </c>
      <c r="C9" s="6" t="s">
        <v>233</v>
      </c>
      <c r="D9" s="9" t="s">
        <v>234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36"/>
    <col collapsed="false" customWidth="true" hidden="false" outlineLevel="0" max="4" min="4" style="0" width="44"/>
    <col collapsed="false" customWidth="true" hidden="false" outlineLevel="0" max="5" min="5" style="0" width="18"/>
    <col collapsed="false" customWidth="true" hidden="false" outlineLevel="0" max="6" min="6" style="0" width="30"/>
    <col collapsed="false" customWidth="true" hidden="false" outlineLevel="0" max="7" min="7" style="0" width="34"/>
    <col collapsed="false" customWidth="true" hidden="false" outlineLevel="0" max="9" min="8" style="0" width="38"/>
  </cols>
  <sheetData>
    <row r="1" customFormat="false" ht="17.35" hidden="false" customHeight="false" outlineLevel="0" collapsed="false">
      <c r="A1" s="1" t="s">
        <v>235</v>
      </c>
    </row>
    <row r="2" customFormat="false" ht="27.75" hidden="false" customHeight="true" outlineLevel="0" collapsed="false">
      <c r="A2" s="2" t="s">
        <v>236</v>
      </c>
      <c r="B2" s="2"/>
      <c r="C2" s="2"/>
      <c r="D2" s="2"/>
      <c r="E2" s="2"/>
      <c r="F2" s="2"/>
      <c r="G2" s="2"/>
      <c r="H2" s="2"/>
      <c r="I2" s="2"/>
    </row>
    <row r="3" customFormat="false" ht="27.75" hidden="false" customHeight="true" outlineLevel="0" collapsed="false">
      <c r="A3" s="2" t="s">
        <v>237</v>
      </c>
      <c r="B3" s="2"/>
      <c r="C3" s="2"/>
      <c r="D3" s="2"/>
      <c r="E3" s="2"/>
      <c r="F3" s="2"/>
      <c r="G3" s="2"/>
      <c r="H3" s="2"/>
      <c r="I3" s="2"/>
    </row>
    <row r="5" customFormat="false" ht="15" hidden="false" customHeight="false" outlineLevel="0" collapsed="false">
      <c r="A5" s="3" t="s">
        <v>238</v>
      </c>
      <c r="B5" s="3" t="s">
        <v>239</v>
      </c>
      <c r="C5" s="3" t="s">
        <v>240</v>
      </c>
      <c r="D5" s="3" t="s">
        <v>241</v>
      </c>
      <c r="E5" s="3" t="s">
        <v>242</v>
      </c>
      <c r="F5" s="3" t="s">
        <v>243</v>
      </c>
      <c r="G5" s="3" t="s">
        <v>244</v>
      </c>
      <c r="H5" s="3" t="s">
        <v>245</v>
      </c>
      <c r="I5" s="3" t="s">
        <v>246</v>
      </c>
    </row>
    <row r="6" customFormat="false" ht="70.5" hidden="false" customHeight="true" outlineLevel="0" collapsed="false">
      <c r="A6" s="9" t="s">
        <v>247</v>
      </c>
      <c r="B6" s="9" t="s">
        <v>248</v>
      </c>
      <c r="C6" s="9" t="s">
        <v>249</v>
      </c>
      <c r="D6" s="9" t="s">
        <v>250</v>
      </c>
      <c r="E6" s="9" t="s">
        <v>251</v>
      </c>
      <c r="F6" s="27" t="s">
        <v>252</v>
      </c>
      <c r="G6" s="9" t="s">
        <v>253</v>
      </c>
      <c r="H6" s="9" t="s">
        <v>254</v>
      </c>
      <c r="I6" s="9" t="s">
        <v>255</v>
      </c>
    </row>
    <row r="7" customFormat="false" ht="43.5" hidden="false" customHeight="true" outlineLevel="0" collapsed="false">
      <c r="A7" s="9" t="s">
        <v>256</v>
      </c>
      <c r="B7" s="9" t="s">
        <v>257</v>
      </c>
      <c r="C7" s="9" t="s">
        <v>258</v>
      </c>
      <c r="D7" s="9" t="s">
        <v>259</v>
      </c>
      <c r="E7" s="9" t="s">
        <v>251</v>
      </c>
      <c r="F7" s="27" t="s">
        <v>252</v>
      </c>
      <c r="G7" s="9" t="s">
        <v>260</v>
      </c>
      <c r="H7" s="9" t="s">
        <v>261</v>
      </c>
      <c r="I7" s="9" t="s">
        <v>262</v>
      </c>
    </row>
    <row r="8" customFormat="false" ht="57" hidden="false" customHeight="true" outlineLevel="0" collapsed="false">
      <c r="A8" s="9" t="s">
        <v>263</v>
      </c>
      <c r="B8" s="9" t="s">
        <v>264</v>
      </c>
      <c r="C8" s="9" t="s">
        <v>265</v>
      </c>
      <c r="D8" s="9" t="s">
        <v>266</v>
      </c>
      <c r="E8" s="9" t="s">
        <v>251</v>
      </c>
      <c r="F8" s="27" t="s">
        <v>267</v>
      </c>
      <c r="G8" s="9" t="s">
        <v>268</v>
      </c>
      <c r="H8" s="9" t="s">
        <v>269</v>
      </c>
      <c r="I8" s="9" t="s">
        <v>270</v>
      </c>
    </row>
    <row r="9" customFormat="false" ht="43.5" hidden="false" customHeight="true" outlineLevel="0" collapsed="false">
      <c r="A9" s="9" t="s">
        <v>271</v>
      </c>
      <c r="B9" s="9" t="s">
        <v>272</v>
      </c>
      <c r="C9" s="9" t="s">
        <v>273</v>
      </c>
      <c r="D9" s="9" t="s">
        <v>274</v>
      </c>
      <c r="E9" s="9" t="s">
        <v>251</v>
      </c>
      <c r="F9" s="27" t="s">
        <v>267</v>
      </c>
      <c r="G9" s="9" t="s">
        <v>275</v>
      </c>
      <c r="H9" s="9" t="s">
        <v>276</v>
      </c>
      <c r="I9" s="9" t="s">
        <v>277</v>
      </c>
    </row>
    <row r="10" customFormat="false" ht="43.5" hidden="false" customHeight="true" outlineLevel="0" collapsed="false">
      <c r="A10" s="9" t="s">
        <v>278</v>
      </c>
      <c r="B10" s="9" t="s">
        <v>279</v>
      </c>
      <c r="C10" s="9" t="s">
        <v>280</v>
      </c>
      <c r="D10" s="9" t="s">
        <v>281</v>
      </c>
      <c r="E10" s="9" t="s">
        <v>251</v>
      </c>
      <c r="F10" s="27" t="s">
        <v>267</v>
      </c>
      <c r="G10" s="9" t="s">
        <v>282</v>
      </c>
      <c r="H10" s="9" t="s">
        <v>283</v>
      </c>
      <c r="I10" s="9" t="s">
        <v>284</v>
      </c>
    </row>
    <row r="11" customFormat="false" ht="57" hidden="false" customHeight="true" outlineLevel="0" collapsed="false">
      <c r="A11" s="9" t="s">
        <v>285</v>
      </c>
      <c r="B11" s="9" t="s">
        <v>286</v>
      </c>
      <c r="C11" s="9" t="s">
        <v>287</v>
      </c>
      <c r="D11" s="9" t="s">
        <v>288</v>
      </c>
      <c r="E11" s="9" t="s">
        <v>251</v>
      </c>
      <c r="F11" s="27" t="s">
        <v>267</v>
      </c>
      <c r="G11" s="9" t="s">
        <v>289</v>
      </c>
      <c r="H11" s="9" t="s">
        <v>290</v>
      </c>
      <c r="I11" s="9" t="s">
        <v>291</v>
      </c>
    </row>
    <row r="12" customFormat="false" ht="57" hidden="false" customHeight="true" outlineLevel="0" collapsed="false">
      <c r="A12" s="9" t="s">
        <v>292</v>
      </c>
      <c r="B12" s="9" t="s">
        <v>293</v>
      </c>
      <c r="C12" s="9" t="s">
        <v>294</v>
      </c>
      <c r="D12" s="9" t="s">
        <v>295</v>
      </c>
      <c r="E12" s="9" t="s">
        <v>251</v>
      </c>
      <c r="F12" s="27" t="s">
        <v>296</v>
      </c>
      <c r="G12" s="9" t="s">
        <v>297</v>
      </c>
      <c r="H12" s="9" t="s">
        <v>298</v>
      </c>
      <c r="I12" s="9" t="s">
        <v>299</v>
      </c>
    </row>
    <row r="13" customFormat="false" ht="57" hidden="false" customHeight="true" outlineLevel="0" collapsed="false">
      <c r="A13" s="9" t="s">
        <v>300</v>
      </c>
      <c r="B13" s="9" t="s">
        <v>301</v>
      </c>
      <c r="C13" s="9" t="s">
        <v>302</v>
      </c>
      <c r="D13" s="9" t="s">
        <v>303</v>
      </c>
      <c r="E13" s="9" t="s">
        <v>251</v>
      </c>
      <c r="F13" s="27" t="s">
        <v>296</v>
      </c>
      <c r="G13" s="9" t="s">
        <v>304</v>
      </c>
      <c r="H13" s="9" t="s">
        <v>305</v>
      </c>
      <c r="I13" s="9" t="s">
        <v>306</v>
      </c>
    </row>
    <row r="14" customFormat="false" ht="43.5" hidden="false" customHeight="true" outlineLevel="0" collapsed="false">
      <c r="A14" s="9" t="s">
        <v>307</v>
      </c>
      <c r="B14" s="9" t="s">
        <v>308</v>
      </c>
      <c r="C14" s="9" t="s">
        <v>309</v>
      </c>
      <c r="D14" s="9" t="s">
        <v>310</v>
      </c>
      <c r="E14" s="9" t="s">
        <v>251</v>
      </c>
      <c r="F14" s="27" t="s">
        <v>252</v>
      </c>
      <c r="G14" s="9" t="s">
        <v>311</v>
      </c>
      <c r="H14" s="9" t="s">
        <v>312</v>
      </c>
      <c r="I14" s="9" t="s">
        <v>313</v>
      </c>
    </row>
    <row r="15" customFormat="false" ht="43.5" hidden="false" customHeight="true" outlineLevel="0" collapsed="false">
      <c r="A15" s="9" t="s">
        <v>314</v>
      </c>
      <c r="B15" s="9" t="s">
        <v>315</v>
      </c>
      <c r="C15" s="9" t="s">
        <v>316</v>
      </c>
      <c r="D15" s="9" t="s">
        <v>317</v>
      </c>
      <c r="E15" s="9" t="s">
        <v>251</v>
      </c>
      <c r="F15" s="27" t="s">
        <v>296</v>
      </c>
      <c r="G15" s="9" t="s">
        <v>318</v>
      </c>
      <c r="H15" s="9" t="s">
        <v>319</v>
      </c>
      <c r="I15" s="9" t="s">
        <v>320</v>
      </c>
    </row>
    <row r="16" customFormat="false" ht="43.5" hidden="false" customHeight="true" outlineLevel="0" collapsed="false">
      <c r="A16" s="9" t="s">
        <v>321</v>
      </c>
      <c r="B16" s="9" t="s">
        <v>322</v>
      </c>
      <c r="C16" s="9" t="s">
        <v>323</v>
      </c>
      <c r="D16" s="9" t="s">
        <v>324</v>
      </c>
      <c r="E16" s="9" t="s">
        <v>325</v>
      </c>
      <c r="F16" s="9"/>
      <c r="G16" s="9" t="s">
        <v>326</v>
      </c>
      <c r="H16" s="9" t="s">
        <v>327</v>
      </c>
      <c r="I16" s="9" t="s">
        <v>328</v>
      </c>
    </row>
  </sheetData>
  <mergeCells count="2">
    <mergeCell ref="A2:I2"/>
    <mergeCell ref="A3:I3"/>
  </mergeCells>
  <hyperlinks>
    <hyperlink ref="F6" r:id="rId1" display="https://www.nutanix.com/blog/supercharge-your-vm-migrations-to-nutanix-ahv"/>
    <hyperlink ref="F7" r:id="rId2" display="https://www.nutanix.com/blog/supercharge-your-vm-migrations-to-nutanix-ahv"/>
    <hyperlink ref="F8" r:id="rId3" display="https://www.nutanix.com/library/infographics/safeguard-against-risks-arising-from-the-vmware-acquisition"/>
    <hyperlink ref="F9" r:id="rId4" display="https://www.nutanix.com/library/infographics/safeguard-against-risks-arising-from-the-vmware-acquisition"/>
    <hyperlink ref="F10" r:id="rId5" display="https://www.nutanix.com/library/infographics/safeguard-against-risks-arising-from-the-vmware-acquisition"/>
    <hyperlink ref="F11" r:id="rId6" display="https://www.nutanix.com/library/infographics/safeguard-against-risks-arising-from-the-vmware-acquisition"/>
    <hyperlink ref="F12" r:id="rId7" display="https://www.nutanix.com/press-releases/2020/gruppo-policlinico-di-monza-healthcare-system-chooses-nutanix-to-improve-security-reliability-and-dr"/>
    <hyperlink ref="F13" r:id="rId8" display="https://www.nutanix.com/press-releases/2020/gruppo-policlinico-di-monza-healthcare-system-chooses-nutanix-to-improve-security-reliability-and-dr"/>
    <hyperlink ref="F14" r:id="rId9" display="https://www.nutanix.com/blog/supercharge-your-vm-migrations-to-nutanix-ahv"/>
    <hyperlink ref="F15" r:id="rId10" display="https://www.nutanix.com/press-releases/2020/gruppo-policlinico-di-monza-healthcare-system-chooses-nutanix-to-improve-security-reliability-and-dr"/>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2026-10-22T21:01:32Z</dcterms:created>
  <dc:creator>openpyxl</dc:creator>
  <dc:description/>
  <dc:language>en-US</dc:language>
  <cp:lastModifiedBy/>
  <dcterms:modified xsi:type="dcterms:W3CDTF">2026-10-22T21:01:32Z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